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ppDeloper\스크린야구동호회\"/>
    </mc:Choice>
  </mc:AlternateContent>
  <bookViews>
    <workbookView xWindow="0" yWindow="0" windowWidth="28800" windowHeight="12270"/>
  </bookViews>
  <sheets>
    <sheet name="개인별 시즌 누적기록" sheetId="1" r:id="rId1"/>
    <sheet name="경기 하이라이트 &amp; 특별기록" sheetId="2" r:id="rId2"/>
    <sheet name="경기스코어보드" sheetId="3" r:id="rId3"/>
    <sheet name="팀별 타격기록지_1팀" sheetId="4" r:id="rId4"/>
    <sheet name="팀별 타격기록지_2팀" sheetId="5" r:id="rId5"/>
    <sheet name="경기운영 체크리스트" sheetId="7" r:id="rId6"/>
    <sheet name="sns 공유용 메세지" sheetId="8" r:id="rId7"/>
    <sheet name="게시판용 정기모임결과" sheetId="9" r:id="rId8"/>
  </sheets>
  <definedNames>
    <definedName name="_xlnm.Print_Titles" localSheetId="0">'개인별 시즌 누적기록'!$5:$5</definedName>
  </definedNames>
  <calcPr calcId="152511"/>
</workbook>
</file>

<file path=xl/calcChain.xml><?xml version="1.0" encoding="utf-8"?>
<calcChain xmlns="http://schemas.openxmlformats.org/spreadsheetml/2006/main">
  <c r="L20" i="1" l="1"/>
  <c r="X24" i="5"/>
  <c r="W24" i="5"/>
  <c r="V24" i="5"/>
  <c r="U24" i="5"/>
  <c r="T24" i="5"/>
  <c r="S24" i="5"/>
  <c r="AA24" i="5" s="1"/>
  <c r="R24" i="5"/>
  <c r="Q24" i="5"/>
  <c r="Z24" i="5" s="1"/>
  <c r="P24" i="5"/>
  <c r="AA21" i="5"/>
  <c r="Z21" i="5"/>
  <c r="Y21" i="5"/>
  <c r="AA20" i="5"/>
  <c r="Z20" i="5"/>
  <c r="Y20" i="5"/>
  <c r="AA19" i="5"/>
  <c r="Z19" i="5"/>
  <c r="Y19" i="5"/>
  <c r="AA18" i="5"/>
  <c r="Z18" i="5"/>
  <c r="Y18" i="5"/>
  <c r="AA17" i="5"/>
  <c r="Z17" i="5"/>
  <c r="Y17" i="5"/>
  <c r="AA16" i="5"/>
  <c r="Z16" i="5"/>
  <c r="Y16" i="5"/>
  <c r="AA15" i="5"/>
  <c r="Z15" i="5"/>
  <c r="Y15" i="5"/>
  <c r="AA14" i="5"/>
  <c r="Z14" i="5"/>
  <c r="Y14" i="5"/>
  <c r="X24" i="4"/>
  <c r="W24" i="4"/>
  <c r="V24" i="4"/>
  <c r="U24" i="4"/>
  <c r="T24" i="4"/>
  <c r="S24" i="4"/>
  <c r="R24" i="4"/>
  <c r="Q24" i="4"/>
  <c r="AA24" i="4" s="1"/>
  <c r="P24" i="4"/>
  <c r="AA19" i="4"/>
  <c r="Z19" i="4"/>
  <c r="Y19" i="4"/>
  <c r="AA18" i="4"/>
  <c r="Z18" i="4"/>
  <c r="Y18" i="4"/>
  <c r="AA17" i="4"/>
  <c r="Z17" i="4"/>
  <c r="Y17" i="4"/>
  <c r="AA16" i="4"/>
  <c r="Z16" i="4"/>
  <c r="Y16" i="4"/>
  <c r="AA15" i="4"/>
  <c r="Z15" i="4"/>
  <c r="Y15" i="4"/>
  <c r="AA14" i="4"/>
  <c r="Z14" i="4"/>
  <c r="Y14" i="4"/>
  <c r="Y24" i="4" l="1"/>
  <c r="Z24" i="4"/>
  <c r="Y24" i="5"/>
</calcChain>
</file>

<file path=xl/sharedStrings.xml><?xml version="1.0" encoding="utf-8"?>
<sst xmlns="http://schemas.openxmlformats.org/spreadsheetml/2006/main" count="348" uniqueCount="194">
  <si>
    <t>⚾ W.B.C 스크린야구동호회 — 개인별 시즌 누적기록</t>
  </si>
  <si>
    <t>세계로교회 World Believers Club</t>
  </si>
  <si>
    <t>기준일: 2026년 09월 13일  |  순위 기준: 타율 → 안타 → 타수  |  출루율 = 타율 (볼넷·사구 데이터 미포함)</t>
  </si>
  <si>
    <t>순위</t>
  </si>
  <si>
    <t>선수명</t>
  </si>
  <si>
    <t>소속팀</t>
  </si>
  <si>
    <t>최근참석일</t>
  </si>
  <si>
    <t>경기수</t>
  </si>
  <si>
    <t>타수</t>
  </si>
  <si>
    <t>안타</t>
  </si>
  <si>
    <t>1루타</t>
  </si>
  <si>
    <t>2루타</t>
  </si>
  <si>
    <t>3루타</t>
  </si>
  <si>
    <t>홈런</t>
  </si>
  <si>
    <t>타점</t>
  </si>
  <si>
    <t>삼진</t>
  </si>
  <si>
    <t>병살타</t>
  </si>
  <si>
    <t>타율</t>
  </si>
  <si>
    <t>장타율</t>
  </si>
  <si>
    <t>출루율</t>
  </si>
  <si>
    <t>🥇 1위</t>
  </si>
  <si>
    <t>서관승</t>
  </si>
  <si>
    <t>Believers 🔥</t>
  </si>
  <si>
    <t>2026년 09월 13일</t>
  </si>
  <si>
    <t>🥈 2위</t>
  </si>
  <si>
    <t>이종욱</t>
  </si>
  <si>
    <t>🥉 3위</t>
  </si>
  <si>
    <t>임명길</t>
  </si>
  <si>
    <t>4위</t>
  </si>
  <si>
    <t>이주호</t>
  </si>
  <si>
    <t>World ⚡</t>
  </si>
  <si>
    <t>5위</t>
  </si>
  <si>
    <t>박동진</t>
  </si>
  <si>
    <t>6위</t>
  </si>
  <si>
    <t>김석희</t>
  </si>
  <si>
    <t>7위</t>
  </si>
  <si>
    <t>이성수</t>
  </si>
  <si>
    <t>8위</t>
  </si>
  <si>
    <t>김진혁</t>
  </si>
  <si>
    <t>9위</t>
  </si>
  <si>
    <t>김응관</t>
  </si>
  <si>
    <t>10위</t>
  </si>
  <si>
    <t>황주현</t>
  </si>
  <si>
    <t>11위</t>
  </si>
  <si>
    <t>정재홍</t>
  </si>
  <si>
    <t>12위</t>
  </si>
  <si>
    <t>이승원</t>
  </si>
  <si>
    <t>13위</t>
  </si>
  <si>
    <t>김신광</t>
  </si>
  <si>
    <t>14위</t>
  </si>
  <si>
    <t>배석원</t>
  </si>
  <si>
    <t>📊 전체 합계</t>
  </si>
  <si>
    <t>📌 기록 기호: ① 1루타  ② 2루타  ③ 3루타  ★ 홈런  K 삼진  O 아웃  DP 병살  - 해당이닝 미타석   |   출루율 = 볼넷·사구 데이터 미포함 시 타율과 동일</t>
  </si>
  <si>
    <t>🏆 경기 하이라이트 &amp; 특별 기록</t>
  </si>
  <si>
    <t>부문</t>
  </si>
  <si>
    <t>수상자/기록</t>
  </si>
  <si>
    <t>세부 내용</t>
  </si>
  <si>
    <t>⭐ 오늘의 MVP</t>
  </si>
  <si>
    <t>타율 .___ 
(___타수 ___안타)</t>
  </si>
  <si>
    <t>💣 오늘의 홈런</t>
  </si>
  <si>
    <t>___회 ___점 홈런</t>
  </si>
  <si>
    <t>🎯 오늘의 클러치</t>
  </si>
  <si>
    <t>중요한 순간 적시타</t>
  </si>
  <si>
    <t>💪 오늘의 노력상</t>
  </si>
  <si>
    <t>끝까지 포기하지 않는 정신력</t>
  </si>
  <si>
    <t>😄 오늘의 명장면</t>
  </si>
  <si>
    <t>특이사항 메모:</t>
  </si>
  <si>
    <t>항목</t>
  </si>
  <si>
    <t>내용</t>
  </si>
  <si>
    <t>일 자</t>
  </si>
  <si>
    <t>2026년 ____9월 ____13일 (주일)</t>
  </si>
  <si>
    <t>장 소</t>
  </si>
  <si>
    <t>_________________ 스크린야구장</t>
  </si>
  <si>
    <t>기록자</t>
  </si>
  <si>
    <t>참석 인원</t>
  </si>
  <si>
    <t>12명 / 16명</t>
  </si>
  <si>
    <t>경기 시간</t>
  </si>
  <si>
    <t xml:space="preserve">     17:00       ~         19:00</t>
  </si>
  <si>
    <t>팀명</t>
  </si>
  <si>
    <t>최종</t>
  </si>
  <si>
    <t>⚡ World Team</t>
  </si>
  <si>
    <t>_________점</t>
  </si>
  <si>
    <t>🔥 Believers Team</t>
  </si>
  <si>
    <t>ㅇ 경기 기록</t>
  </si>
  <si>
    <t>현장에서 빠르게 기록할 수 있도록 직관적인 기호를 사용합니다.</t>
  </si>
  <si>
    <t>기호</t>
  </si>
  <si>
    <t>의미</t>
  </si>
  <si>
    <t>①</t>
  </si>
  <si>
    <t>K</t>
  </si>
  <si>
    <t>②</t>
  </si>
  <si>
    <t>O</t>
  </si>
  <si>
    <t>일반 아웃</t>
  </si>
  <si>
    <t>③</t>
  </si>
  <si>
    <t>DP</t>
  </si>
  <si>
    <t>★</t>
  </si>
  <si>
    <t>-</t>
  </si>
  <si>
    <t>해당 이닝 미타석</t>
  </si>
  <si>
    <t>타점 표기: 기호 옆에 괄호로 표시 (예: ② (2) = 2루타로 2타점)</t>
  </si>
  <si>
    <t>(                          )Team 이닝별 타격 기록</t>
  </si>
  <si>
    <t>타순</t>
  </si>
  <si>
    <t>총 타수</t>
  </si>
  <si>
    <t>타석집계</t>
  </si>
  <si>
    <t>타점
집계</t>
  </si>
  <si>
    <t>아웃집계</t>
  </si>
  <si>
    <t>타율
계산</t>
  </si>
  <si>
    <t>①루타</t>
  </si>
  <si>
    <t>②루타</t>
  </si>
  <si>
    <t>③루타</t>
  </si>
  <si>
    <t>★홈런</t>
  </si>
  <si>
    <t>팀계</t>
  </si>
  <si>
    <t>ㅇ 경기 당일 운영 가이드</t>
  </si>
  <si>
    <t>📝 기록 담당자 체크리스트</t>
  </si>
  <si>
    <t>시간</t>
  </si>
  <si>
    <t>할 일</t>
  </si>
  <si>
    <t>체크</t>
  </si>
  <si>
    <t>모임 시작 전</t>
  </si>
  <si>
    <t>기록지 2장 출력 확인 (팀별 1장씩)</t>
  </si>
  <si>
    <t>□</t>
  </si>
  <si>
    <t>경기 중</t>
  </si>
  <si>
    <t>이닝별 타격 결과 즉시 기입</t>
  </si>
  <si>
    <t>각 이닝 종료 후</t>
  </si>
  <si>
    <t>득점 현황 스코어보드 업데이트</t>
  </si>
  <si>
    <t>경기 종료 직후</t>
  </si>
  <si>
    <t>스크린 최종 기록 화면 사진 촬영</t>
  </si>
  <si>
    <t>식사 시간</t>
  </si>
  <si>
    <t>집계표 완성 및 하이라이트 선정</t>
  </si>
  <si>
    <t>귀가 후</t>
  </si>
  <si>
    <t>구글 스프레드시트 누적 기록 입력</t>
  </si>
  <si>
    <t>다음날</t>
  </si>
  <si>
    <t>교회 홍보 자료 작성 및 제출</t>
  </si>
  <si>
    <t>🎯 기록 요령</t>
  </si>
  <si>
    <t>경기 중 (빠른 기록):</t>
  </si>
  <si>
    <t>이닝별 칸에 기호만 빠르게 기입</t>
  </si>
  <si>
    <t>특별한 순간은 '특이사항' 란에 간단히 메모</t>
  </si>
  <si>
    <t>경기 후 (정리 시간):</t>
  </si>
  <si>
    <t>오른쪽 집계 칸 완성</t>
  </si>
  <si>
    <t>타율 계산: 안타수 ÷ 타수</t>
  </si>
  <si>
    <t>하이라이트 선정 및 기록</t>
  </si>
  <si>
    <t>【 경기 결과 】</t>
  </si>
  <si>
    <t>#세계로교회 #WBC #WorldBelieversClub</t>
  </si>
  <si>
    <t>🏆 세계로교회 W.B.C 스크린야구 동호회 ___월 정기 모임 결과</t>
  </si>
  <si>
    <t>📅 일시: ___월 ___일 (주일) 오후 4~8시</t>
  </si>
  <si>
    <t>📍 장소: _________ 스크린야구장</t>
  </si>
  <si>
    <t>👥 참석: ___명 (World Team ___명, Believers Team ___명)</t>
  </si>
  <si>
    <t>━━━━━━━━━━━━━━━━━━━━━━━━━━━━━━━━━━━━━━━━━━</t>
  </si>
  <si>
    <t>⚡ World Team   ___점</t>
  </si>
  <si>
    <t>🔥 Believers Team ___점</t>
  </si>
  <si>
    <t xml:space="preserve">___회 말, ○○○ 형제님의 짜릿한 역전 홈런으로 </t>
  </si>
  <si>
    <t>World Team이 극적인 승리를 거두었습니다! 🎉</t>
  </si>
  <si>
    <t>【 개인 기록 하이라이트 】</t>
  </si>
  <si>
    <t xml:space="preserve">⭐ 이달의 MVP: ○○○ 형제 </t>
  </si>
  <si>
    <t xml:space="preserve">   (___타수 ___안타 ___홈런 ___타점, 타율 .___)</t>
  </si>
  <si>
    <t>💣 이달의 홈런왕: ○○○ 형제 (___개)</t>
  </si>
  <si>
    <t>🎯 이달의 클러치 히터: ○○○ 형제 (결정적 순간 적시타)</t>
  </si>
  <si>
    <t xml:space="preserve">💪 이달의 노력상: ○○○ 형제 </t>
  </si>
  <si>
    <t xml:space="preserve">   (끝까지 포기하지 않는 멋진 정신력을 보여주셨습니다!)</t>
  </si>
  <si>
    <t>【 따뜻한 한 마디 】</t>
  </si>
  <si>
    <t>오늘도 함께 땀 흘리며 교제할 수 있어 감사했습니다. _x000D_
스크린야구를 통해 서로 더 가까워지고, 믿음 안에서 _x000D_
건강한 경쟁과 격려를 나누는 시간이었습니다. - 회장</t>
  </si>
  <si>
    <t>【 W.B.C 가입 안내 】</t>
  </si>
  <si>
    <t>🎯 대상: 남전도회 회원 (젊은 아빠 세대 환영!)</t>
  </si>
  <si>
    <t>💰 회비: 연 50,000원 + 참석 시 10,000원</t>
  </si>
  <si>
    <t>⏰ 모임: 매월 셋째 주 주일 오후 4시</t>
  </si>
  <si>
    <t>📞 문의: 총무 ○○○ 집사 (010-XXXX-XXXX)</t>
  </si>
  <si>
    <t xml:space="preserve">야구 실력은 전혀 중요하지 않습니다! </t>
  </si>
  <si>
    <t>함께 땀 흘리고 교제하며 믿음의 동역자가 되어보세요! 🙏</t>
  </si>
  <si>
    <t>다음 모임: ___월 ___일 (주일) 오후 4시</t>
  </si>
  <si>
    <t>⚾ W.B.C 경기 결과! ⚾</t>
  </si>
  <si>
    <t>🌍 세계로교회 World Believers Club</t>
  </si>
  <si>
    <t>📅 2026년 09월 13일 (주일)</t>
  </si>
  <si>
    <t>━━━━━━━━━━━━━━━━━━━━━</t>
  </si>
  <si>
    <t>🏆 경기 결과</t>
  </si>
  <si>
    <t>⚡ World Team       [점수]점</t>
  </si>
  <si>
    <t>🔥 Believers Team   [점수]점</t>
  </si>
  <si>
    <t>📊 팀 타격 기록</t>
  </si>
  <si>
    <t xml:space="preserve">  타수 23 | 안타 7 | 타율 .304 | 장타율 .522</t>
  </si>
  <si>
    <t xml:space="preserve">  1루타 3 | 2루타 3 | 3루타 1 | 홈런 0</t>
  </si>
  <si>
    <t xml:space="preserve">  타수 34 | 안타 15 | 타율 .441 | 장타율 .912</t>
  </si>
  <si>
    <t xml:space="preserve">  1루타 7 | 2루타 4 | 3루타 0 | 홈런 4 🚀</t>
  </si>
  <si>
    <t>🎊 오늘의 하이라이트</t>
  </si>
  <si>
    <t>🏅 MVP 후보</t>
  </si>
  <si>
    <t xml:space="preserve">   임명길 형제 — 5타수 4안타 1홈런 (타율 .800) 🔥</t>
  </si>
  <si>
    <t>💣 홈런상</t>
  </si>
  <si>
    <t xml:space="preserve">   박동진 형제 — 무려 3홈런!! 장타율 2.400 🚀🚀🚀</t>
  </si>
  <si>
    <t xml:space="preserve">   임명길 형제 — 1홈런 추가 ⚡</t>
  </si>
  <si>
    <t>🎯 안타상</t>
  </si>
  <si>
    <t xml:space="preserve">   이주호 형제 — 4타수 3안타 (3연속 2루타!) 타율 .750</t>
  </si>
  <si>
    <t>📈 오늘의 타격 기록 TOP 5</t>
  </si>
  <si>
    <t xml:space="preserve">   1위 서관승 형제  1타수 1안타  타율 1.000</t>
  </si>
  <si>
    <t xml:space="preserve">   2위 이종욱 형제  1타수 1안타  타율 1.000  장타율 2.000 (2루타)</t>
  </si>
  <si>
    <t xml:space="preserve">   3위 임명길 형제  5타수 4안타  타율 .800   홈런 1</t>
  </si>
  <si>
    <t xml:space="preserve">   4위 이주호 형제  4타수 3안타  타율 .750</t>
  </si>
  <si>
    <t xml:space="preserve">   5위 박동진 형제  5타수 3안타  타율 .600   홈런 3</t>
  </si>
  <si>
    <t>믿음으로 스윙하라, 세계로 나아가라! ⚾🙏</t>
  </si>
  <si>
    <t>#스크린야구 #전도회 #야빠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</si>
</sst>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0"/>
  </numFmts>
  <fonts count="33" x14ac:knownFonts="1">
    <font>
      <sz val="11"/>
      <color theme="1"/>
      <name val="맑은 고딕"/>
      <family val="2"/>
      <charset val="129"/>
      <scheme val="minor"/>
    </font>
    <font>
      <b/>
      <sz val="14"/>
      <color rgb="FF232425"/>
      <name val="Noto Sans KR"/>
      <family val="3"/>
      <charset val="129"/>
    </font>
    <font>
      <sz val="12"/>
      <color rgb="FF232425"/>
      <name val="Noto Sans KR"/>
      <family val="3"/>
      <charset val="129"/>
    </font>
    <font>
      <b/>
      <sz val="12"/>
      <color rgb="FF232425"/>
      <name val="Noto Sans KR"/>
      <family val="3"/>
      <charset val="129"/>
    </font>
    <font>
      <sz val="8"/>
      <name val="맑은 고딕"/>
      <family val="2"/>
      <charset val="129"/>
      <scheme val="minor"/>
    </font>
    <font>
      <b/>
      <sz val="14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Noto Sans KR"/>
      <family val="3"/>
      <charset val="129"/>
    </font>
    <font>
      <b/>
      <sz val="16"/>
      <color rgb="FF232425"/>
      <name val="Noto Sans KR"/>
      <family val="3"/>
      <charset val="129"/>
    </font>
    <font>
      <b/>
      <sz val="18"/>
      <color rgb="FF232425"/>
      <name val="Noto Sans KR"/>
      <family val="3"/>
      <charset val="129"/>
    </font>
    <font>
      <b/>
      <sz val="22"/>
      <color rgb="FF232425"/>
      <name val="Noto Sans KR"/>
      <family val="3"/>
      <charset val="129"/>
    </font>
    <font>
      <sz val="2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Noto Sans KR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7B5E00"/>
      <name val="맑은 고딕"/>
      <family val="3"/>
      <charset val="129"/>
    </font>
    <font>
      <sz val="10"/>
      <color rgb="FF7B5E00"/>
      <name val="맑은 고딕"/>
      <family val="3"/>
      <charset val="129"/>
    </font>
    <font>
      <sz val="9"/>
      <color rgb="FF7B5E00"/>
      <name val="맑은 고딕"/>
      <family val="3"/>
      <charset val="129"/>
    </font>
    <font>
      <b/>
      <sz val="10"/>
      <color rgb="FF4A4A4A"/>
      <name val="맑은 고딕"/>
      <family val="3"/>
      <charset val="129"/>
    </font>
    <font>
      <sz val="10"/>
      <color rgb="FF4A4A4A"/>
      <name val="맑은 고딕"/>
      <family val="3"/>
      <charset val="129"/>
    </font>
    <font>
      <sz val="9"/>
      <color rgb="FF4A4A4A"/>
      <name val="맑은 고딕"/>
      <family val="3"/>
      <charset val="129"/>
    </font>
    <font>
      <b/>
      <sz val="10"/>
      <color rgb="FF5C2E00"/>
      <name val="맑은 고딕"/>
      <family val="3"/>
      <charset val="129"/>
    </font>
    <font>
      <sz val="10"/>
      <color rgb="FF5C2E00"/>
      <name val="맑은 고딕"/>
      <family val="3"/>
      <charset val="129"/>
    </font>
    <font>
      <sz val="9"/>
      <color rgb="FF5C2E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1F3864"/>
      <name val="맑은 고딕"/>
      <family val="3"/>
      <charset val="129"/>
    </font>
    <font>
      <sz val="9"/>
      <color rgb="FF1F3864"/>
      <name val="맑은 고딕"/>
      <family val="3"/>
      <charset val="129"/>
    </font>
    <font>
      <i/>
      <sz val="8"/>
      <color rgb="FF666666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8F8F8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DDEEFF"/>
      </patternFill>
    </fill>
    <fill>
      <patternFill patternType="solid">
        <fgColor rgb="FFFFE8D6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7" fillId="4" borderId="1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4" fillId="5" borderId="0" xfId="0" applyFont="1" applyFill="1" applyAlignment="1">
      <alignment horizontal="center" vertical="center" wrapText="1"/>
    </xf>
    <xf numFmtId="177" fontId="0" fillId="0" borderId="1" xfId="0" applyNumberFormat="1" applyBorder="1" applyAlignment="1">
      <alignment vertical="center"/>
    </xf>
    <xf numFmtId="177" fontId="0" fillId="0" borderId="0" xfId="0" applyNumberFormat="1" applyAlignment="1"/>
    <xf numFmtId="177" fontId="15" fillId="0" borderId="0" xfId="0" applyNumberFormat="1" applyFont="1" applyAlignment="1">
      <alignment horizontal="center"/>
    </xf>
    <xf numFmtId="0" fontId="0" fillId="8" borderId="0" xfId="0" applyFill="1" applyAlignment="1"/>
    <xf numFmtId="0" fontId="19" fillId="5" borderId="5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177" fontId="20" fillId="9" borderId="5" xfId="0" applyNumberFormat="1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177" fontId="23" fillId="10" borderId="5" xfId="0" applyNumberFormat="1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28" fillId="11" borderId="5" xfId="0" applyFont="1" applyFill="1" applyBorder="1" applyAlignment="1">
      <alignment horizontal="center" vertical="center"/>
    </xf>
    <xf numFmtId="177" fontId="26" fillId="11" borderId="5" xfId="0" applyNumberFormat="1" applyFont="1" applyFill="1" applyBorder="1" applyAlignment="1">
      <alignment horizontal="center" vertical="center"/>
    </xf>
    <xf numFmtId="0" fontId="29" fillId="12" borderId="5" xfId="0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horizontal="center" vertical="center"/>
    </xf>
    <xf numFmtId="0" fontId="31" fillId="12" borderId="5" xfId="0" applyFont="1" applyFill="1" applyBorder="1" applyAlignment="1">
      <alignment horizontal="center" vertical="center"/>
    </xf>
    <xf numFmtId="177" fontId="30" fillId="12" borderId="5" xfId="0" applyNumberFormat="1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7" fillId="13" borderId="5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177" fontId="27" fillId="13" borderId="5" xfId="0" applyNumberFormat="1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177" fontId="19" fillId="6" borderId="5" xfId="0" applyNumberFormat="1" applyFont="1" applyFill="1" applyBorder="1" applyAlignment="1">
      <alignment horizontal="center" vertical="center"/>
    </xf>
    <xf numFmtId="0" fontId="32" fillId="14" borderId="5" xfId="0" applyFont="1" applyFill="1" applyBorder="1" applyAlignment="1">
      <alignment horizontal="left" vertical="center"/>
    </xf>
    <xf numFmtId="0" fontId="0" fillId="0" borderId="0" xfId="0" applyAlignment="1"/>
    <xf numFmtId="0" fontId="18" fillId="7" borderId="5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pane ySplit="5" topLeftCell="A6" activePane="bottomLeft" state="frozen"/>
      <selection pane="bottomLeft" activeCell="U28" sqref="U28"/>
    </sheetView>
  </sheetViews>
  <sheetFormatPr defaultRowHeight="16.5" x14ac:dyDescent="0.3"/>
  <cols>
    <col min="1" max="1" width="4" style="18" customWidth="1"/>
    <col min="2" max="2" width="8" style="18" customWidth="1"/>
    <col min="3" max="3" width="12" style="18" customWidth="1"/>
    <col min="4" max="4" width="14" style="18" customWidth="1"/>
    <col min="5" max="14" width="5" style="18" customWidth="1"/>
    <col min="15" max="17" width="8" style="18" customWidth="1"/>
  </cols>
  <sheetData>
    <row r="1" spans="1:17" ht="36" customHeight="1" x14ac:dyDescent="0.3">
      <c r="A1" s="52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20.100000000000001" customHeight="1" x14ac:dyDescent="0.3">
      <c r="A2" s="51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8" customHeight="1" x14ac:dyDescent="0.3">
      <c r="A3" s="49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32.1" customHeight="1" x14ac:dyDescent="0.3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10</v>
      </c>
      <c r="I5" s="24" t="s">
        <v>11</v>
      </c>
      <c r="J5" s="24" t="s">
        <v>12</v>
      </c>
      <c r="K5" s="24" t="s">
        <v>13</v>
      </c>
      <c r="L5" s="24" t="s">
        <v>14</v>
      </c>
      <c r="M5" s="24" t="s">
        <v>15</v>
      </c>
      <c r="N5" s="24" t="s">
        <v>16</v>
      </c>
      <c r="O5" s="24" t="s">
        <v>17</v>
      </c>
      <c r="P5" s="24" t="s">
        <v>18</v>
      </c>
      <c r="Q5" s="24" t="s">
        <v>19</v>
      </c>
    </row>
    <row r="6" spans="1:17" ht="20.100000000000001" customHeight="1" x14ac:dyDescent="0.3">
      <c r="A6" s="25" t="s">
        <v>20</v>
      </c>
      <c r="B6" s="25" t="s">
        <v>21</v>
      </c>
      <c r="C6" s="26" t="s">
        <v>22</v>
      </c>
      <c r="D6" s="27" t="s">
        <v>23</v>
      </c>
      <c r="E6" s="26">
        <v>1</v>
      </c>
      <c r="F6" s="26">
        <v>1</v>
      </c>
      <c r="G6" s="26">
        <v>1</v>
      </c>
      <c r="H6" s="26">
        <v>1</v>
      </c>
      <c r="I6" s="26">
        <v>0</v>
      </c>
      <c r="J6" s="26">
        <v>0</v>
      </c>
      <c r="K6" s="26">
        <v>0</v>
      </c>
      <c r="L6" s="26">
        <v>1</v>
      </c>
      <c r="M6" s="26">
        <v>0</v>
      </c>
      <c r="N6" s="26">
        <v>0</v>
      </c>
      <c r="O6" s="28">
        <v>1</v>
      </c>
      <c r="P6" s="28">
        <v>1</v>
      </c>
      <c r="Q6" s="28">
        <v>1</v>
      </c>
    </row>
    <row r="7" spans="1:17" ht="20.100000000000001" customHeight="1" x14ac:dyDescent="0.3">
      <c r="A7" s="29" t="s">
        <v>24</v>
      </c>
      <c r="B7" s="29" t="s">
        <v>25</v>
      </c>
      <c r="C7" s="30" t="s">
        <v>22</v>
      </c>
      <c r="D7" s="31" t="s">
        <v>23</v>
      </c>
      <c r="E7" s="30">
        <v>1</v>
      </c>
      <c r="F7" s="30">
        <v>1</v>
      </c>
      <c r="G7" s="30">
        <v>1</v>
      </c>
      <c r="H7" s="30">
        <v>0</v>
      </c>
      <c r="I7" s="30">
        <v>1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2">
        <v>1</v>
      </c>
      <c r="P7" s="32">
        <v>2</v>
      </c>
      <c r="Q7" s="32">
        <v>1</v>
      </c>
    </row>
    <row r="8" spans="1:17" ht="20.100000000000001" customHeight="1" x14ac:dyDescent="0.3">
      <c r="A8" s="33" t="s">
        <v>26</v>
      </c>
      <c r="B8" s="33" t="s">
        <v>27</v>
      </c>
      <c r="C8" s="34" t="s">
        <v>22</v>
      </c>
      <c r="D8" s="35" t="s">
        <v>23</v>
      </c>
      <c r="E8" s="34">
        <v>1</v>
      </c>
      <c r="F8" s="34">
        <v>5</v>
      </c>
      <c r="G8" s="34">
        <v>4</v>
      </c>
      <c r="H8" s="34">
        <v>3</v>
      </c>
      <c r="I8" s="34">
        <v>0</v>
      </c>
      <c r="J8" s="34">
        <v>0</v>
      </c>
      <c r="K8" s="34">
        <v>1</v>
      </c>
      <c r="L8" s="34">
        <v>1</v>
      </c>
      <c r="M8" s="34">
        <v>0</v>
      </c>
      <c r="N8" s="34">
        <v>0</v>
      </c>
      <c r="O8" s="36">
        <v>0.8</v>
      </c>
      <c r="P8" s="36">
        <v>1.4</v>
      </c>
      <c r="Q8" s="36">
        <v>0.8</v>
      </c>
    </row>
    <row r="9" spans="1:17" ht="20.100000000000001" customHeight="1" x14ac:dyDescent="0.3">
      <c r="A9" s="37" t="s">
        <v>28</v>
      </c>
      <c r="B9" s="37" t="s">
        <v>29</v>
      </c>
      <c r="C9" s="38" t="s">
        <v>30</v>
      </c>
      <c r="D9" s="39" t="s">
        <v>23</v>
      </c>
      <c r="E9" s="38">
        <v>1</v>
      </c>
      <c r="F9" s="38">
        <v>4</v>
      </c>
      <c r="G9" s="38">
        <v>3</v>
      </c>
      <c r="H9" s="38">
        <v>0</v>
      </c>
      <c r="I9" s="38">
        <v>3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40">
        <v>0.75</v>
      </c>
      <c r="P9" s="40">
        <v>1.5</v>
      </c>
      <c r="Q9" s="40">
        <v>0.75</v>
      </c>
    </row>
    <row r="10" spans="1:17" ht="20.100000000000001" customHeight="1" x14ac:dyDescent="0.3">
      <c r="A10" s="41" t="s">
        <v>31</v>
      </c>
      <c r="B10" s="41" t="s">
        <v>32</v>
      </c>
      <c r="C10" s="42" t="s">
        <v>22</v>
      </c>
      <c r="D10" s="43" t="s">
        <v>23</v>
      </c>
      <c r="E10" s="42">
        <v>1</v>
      </c>
      <c r="F10" s="42">
        <v>5</v>
      </c>
      <c r="G10" s="42">
        <v>3</v>
      </c>
      <c r="H10" s="42">
        <v>0</v>
      </c>
      <c r="I10" s="42">
        <v>0</v>
      </c>
      <c r="J10" s="42">
        <v>0</v>
      </c>
      <c r="K10" s="42">
        <v>3</v>
      </c>
      <c r="L10" s="42">
        <v>5</v>
      </c>
      <c r="M10" s="42">
        <v>0</v>
      </c>
      <c r="N10" s="42">
        <v>0</v>
      </c>
      <c r="O10" s="44">
        <v>0.6</v>
      </c>
      <c r="P10" s="44">
        <v>2.4</v>
      </c>
      <c r="Q10" s="44">
        <v>0.6</v>
      </c>
    </row>
    <row r="11" spans="1:17" ht="20.100000000000001" customHeight="1" x14ac:dyDescent="0.3">
      <c r="A11" s="41" t="s">
        <v>33</v>
      </c>
      <c r="B11" s="41" t="s">
        <v>34</v>
      </c>
      <c r="C11" s="42" t="s">
        <v>22</v>
      </c>
      <c r="D11" s="43" t="s">
        <v>23</v>
      </c>
      <c r="E11" s="42">
        <v>1</v>
      </c>
      <c r="F11" s="42">
        <v>6</v>
      </c>
      <c r="G11" s="42">
        <v>3</v>
      </c>
      <c r="H11" s="42">
        <v>1</v>
      </c>
      <c r="I11" s="42">
        <v>2</v>
      </c>
      <c r="J11" s="42">
        <v>0</v>
      </c>
      <c r="K11" s="42">
        <v>0</v>
      </c>
      <c r="L11" s="42">
        <v>3</v>
      </c>
      <c r="M11" s="42">
        <v>1</v>
      </c>
      <c r="N11" s="42">
        <v>0</v>
      </c>
      <c r="O11" s="44">
        <v>0.5</v>
      </c>
      <c r="P11" s="44">
        <v>0.83299999999999996</v>
      </c>
      <c r="Q11" s="44">
        <v>0.5</v>
      </c>
    </row>
    <row r="12" spans="1:17" ht="20.100000000000001" customHeight="1" x14ac:dyDescent="0.3">
      <c r="A12" s="37" t="s">
        <v>35</v>
      </c>
      <c r="B12" s="37" t="s">
        <v>36</v>
      </c>
      <c r="C12" s="38" t="s">
        <v>30</v>
      </c>
      <c r="D12" s="39" t="s">
        <v>23</v>
      </c>
      <c r="E12" s="38">
        <v>1</v>
      </c>
      <c r="F12" s="38">
        <v>3</v>
      </c>
      <c r="G12" s="38">
        <v>1</v>
      </c>
      <c r="H12" s="38">
        <v>1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40">
        <v>0.33300000000000002</v>
      </c>
      <c r="P12" s="40">
        <v>0.33300000000000002</v>
      </c>
      <c r="Q12" s="40">
        <v>0.33300000000000002</v>
      </c>
    </row>
    <row r="13" spans="1:17" ht="20.100000000000001" customHeight="1" x14ac:dyDescent="0.3">
      <c r="A13" s="37" t="s">
        <v>37</v>
      </c>
      <c r="B13" s="37" t="s">
        <v>38</v>
      </c>
      <c r="C13" s="38" t="s">
        <v>30</v>
      </c>
      <c r="D13" s="39" t="s">
        <v>23</v>
      </c>
      <c r="E13" s="38">
        <v>1</v>
      </c>
      <c r="F13" s="38">
        <v>4</v>
      </c>
      <c r="G13" s="38">
        <v>1</v>
      </c>
      <c r="H13" s="38">
        <v>1</v>
      </c>
      <c r="I13" s="38">
        <v>0</v>
      </c>
      <c r="J13" s="38">
        <v>0</v>
      </c>
      <c r="K13" s="38">
        <v>0</v>
      </c>
      <c r="L13" s="38">
        <v>1</v>
      </c>
      <c r="M13" s="38">
        <v>0</v>
      </c>
      <c r="N13" s="38">
        <v>0</v>
      </c>
      <c r="O13" s="40">
        <v>0.25</v>
      </c>
      <c r="P13" s="40">
        <v>0.25</v>
      </c>
      <c r="Q13" s="40">
        <v>0.25</v>
      </c>
    </row>
    <row r="14" spans="1:17" ht="20.100000000000001" customHeight="1" x14ac:dyDescent="0.3">
      <c r="A14" s="37" t="s">
        <v>39</v>
      </c>
      <c r="B14" s="37" t="s">
        <v>40</v>
      </c>
      <c r="C14" s="38" t="s">
        <v>30</v>
      </c>
      <c r="D14" s="39" t="s">
        <v>23</v>
      </c>
      <c r="E14" s="38">
        <v>1</v>
      </c>
      <c r="F14" s="38">
        <v>4</v>
      </c>
      <c r="G14" s="38">
        <v>1</v>
      </c>
      <c r="H14" s="38">
        <v>1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40">
        <v>0.25</v>
      </c>
      <c r="P14" s="40">
        <v>0.25</v>
      </c>
      <c r="Q14" s="40">
        <v>0.25</v>
      </c>
    </row>
    <row r="15" spans="1:17" ht="20.100000000000001" customHeight="1" x14ac:dyDescent="0.3">
      <c r="A15" s="37" t="s">
        <v>41</v>
      </c>
      <c r="B15" s="37" t="s">
        <v>42</v>
      </c>
      <c r="C15" s="38" t="s">
        <v>30</v>
      </c>
      <c r="D15" s="39" t="s">
        <v>23</v>
      </c>
      <c r="E15" s="38">
        <v>1</v>
      </c>
      <c r="F15" s="38">
        <v>4</v>
      </c>
      <c r="G15" s="38">
        <v>1</v>
      </c>
      <c r="H15" s="38">
        <v>0</v>
      </c>
      <c r="I15" s="38">
        <v>0</v>
      </c>
      <c r="J15" s="38">
        <v>1</v>
      </c>
      <c r="K15" s="38">
        <v>0</v>
      </c>
      <c r="L15" s="38">
        <v>0</v>
      </c>
      <c r="M15" s="38">
        <v>0</v>
      </c>
      <c r="N15" s="38">
        <v>1</v>
      </c>
      <c r="O15" s="40">
        <v>0.25</v>
      </c>
      <c r="P15" s="40">
        <v>0.75</v>
      </c>
      <c r="Q15" s="40">
        <v>0.25</v>
      </c>
    </row>
    <row r="16" spans="1:17" ht="20.100000000000001" customHeight="1" x14ac:dyDescent="0.3">
      <c r="A16" s="41" t="s">
        <v>43</v>
      </c>
      <c r="B16" s="41" t="s">
        <v>44</v>
      </c>
      <c r="C16" s="42" t="s">
        <v>22</v>
      </c>
      <c r="D16" s="43" t="s">
        <v>23</v>
      </c>
      <c r="E16" s="42">
        <v>1</v>
      </c>
      <c r="F16" s="42">
        <v>5</v>
      </c>
      <c r="G16" s="42">
        <v>1</v>
      </c>
      <c r="H16" s="42">
        <v>1</v>
      </c>
      <c r="I16" s="42">
        <v>0</v>
      </c>
      <c r="J16" s="42">
        <v>0</v>
      </c>
      <c r="K16" s="42">
        <v>0</v>
      </c>
      <c r="L16" s="42">
        <v>0</v>
      </c>
      <c r="M16" s="42">
        <v>4</v>
      </c>
      <c r="N16" s="42">
        <v>0</v>
      </c>
      <c r="O16" s="44">
        <v>0.2</v>
      </c>
      <c r="P16" s="44">
        <v>0.2</v>
      </c>
      <c r="Q16" s="44">
        <v>0.2</v>
      </c>
    </row>
    <row r="17" spans="1:17" ht="20.100000000000001" customHeight="1" x14ac:dyDescent="0.3">
      <c r="A17" s="41" t="s">
        <v>45</v>
      </c>
      <c r="B17" s="41" t="s">
        <v>46</v>
      </c>
      <c r="C17" s="42" t="s">
        <v>22</v>
      </c>
      <c r="D17" s="43" t="s">
        <v>23</v>
      </c>
      <c r="E17" s="42">
        <v>1</v>
      </c>
      <c r="F17" s="42">
        <v>5</v>
      </c>
      <c r="G17" s="42">
        <v>1</v>
      </c>
      <c r="H17" s="42">
        <v>0</v>
      </c>
      <c r="I17" s="42">
        <v>1</v>
      </c>
      <c r="J17" s="42">
        <v>0</v>
      </c>
      <c r="K17" s="42">
        <v>0</v>
      </c>
      <c r="L17" s="42">
        <v>0</v>
      </c>
      <c r="M17" s="42">
        <v>1</v>
      </c>
      <c r="N17" s="42">
        <v>0</v>
      </c>
      <c r="O17" s="44">
        <v>0.2</v>
      </c>
      <c r="P17" s="44">
        <v>0.4</v>
      </c>
      <c r="Q17" s="44">
        <v>0.2</v>
      </c>
    </row>
    <row r="18" spans="1:17" ht="20.100000000000001" customHeight="1" x14ac:dyDescent="0.3">
      <c r="A18" s="41" t="s">
        <v>47</v>
      </c>
      <c r="B18" s="41" t="s">
        <v>48</v>
      </c>
      <c r="C18" s="42" t="s">
        <v>22</v>
      </c>
      <c r="D18" s="43" t="s">
        <v>23</v>
      </c>
      <c r="E18" s="42">
        <v>1</v>
      </c>
      <c r="F18" s="42">
        <v>6</v>
      </c>
      <c r="G18" s="42">
        <v>1</v>
      </c>
      <c r="H18" s="42">
        <v>1</v>
      </c>
      <c r="I18" s="42">
        <v>0</v>
      </c>
      <c r="J18" s="42">
        <v>0</v>
      </c>
      <c r="K18" s="42">
        <v>0</v>
      </c>
      <c r="L18" s="42">
        <v>0</v>
      </c>
      <c r="M18" s="42">
        <v>4</v>
      </c>
      <c r="N18" s="42">
        <v>0</v>
      </c>
      <c r="O18" s="44">
        <v>0.16700000000000001</v>
      </c>
      <c r="P18" s="44">
        <v>0.16700000000000001</v>
      </c>
      <c r="Q18" s="44">
        <v>0.16700000000000001</v>
      </c>
    </row>
    <row r="19" spans="1:17" ht="20.100000000000001" customHeight="1" x14ac:dyDescent="0.3">
      <c r="A19" s="37" t="s">
        <v>49</v>
      </c>
      <c r="B19" s="37" t="s">
        <v>50</v>
      </c>
      <c r="C19" s="38" t="s">
        <v>30</v>
      </c>
      <c r="D19" s="39" t="s">
        <v>23</v>
      </c>
      <c r="E19" s="38">
        <v>1</v>
      </c>
      <c r="F19" s="38">
        <v>4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3</v>
      </c>
      <c r="N19" s="38">
        <v>0</v>
      </c>
      <c r="O19" s="40">
        <v>0</v>
      </c>
      <c r="P19" s="40">
        <v>0</v>
      </c>
      <c r="Q19" s="40">
        <v>0</v>
      </c>
    </row>
    <row r="20" spans="1:17" ht="21.95" customHeight="1" x14ac:dyDescent="0.3">
      <c r="A20" s="50" t="s">
        <v>51</v>
      </c>
      <c r="B20" s="48"/>
      <c r="C20" s="48"/>
      <c r="D20" s="48"/>
      <c r="E20" s="45">
        <v>14</v>
      </c>
      <c r="F20" s="45">
        <v>57</v>
      </c>
      <c r="G20" s="45">
        <v>22</v>
      </c>
      <c r="H20" s="45">
        <v>10</v>
      </c>
      <c r="I20" s="45">
        <v>7</v>
      </c>
      <c r="J20" s="45">
        <v>1</v>
      </c>
      <c r="K20" s="45">
        <v>4</v>
      </c>
      <c r="L20" s="45">
        <f>SUM(L6:L19)</f>
        <v>11</v>
      </c>
      <c r="M20" s="45">
        <v>13</v>
      </c>
      <c r="N20" s="45">
        <v>1</v>
      </c>
      <c r="O20" s="46">
        <v>0.38600000000000001</v>
      </c>
      <c r="P20" s="46">
        <v>0.754</v>
      </c>
      <c r="Q20" s="46">
        <v>0.38600000000000001</v>
      </c>
    </row>
    <row r="22" spans="1:17" x14ac:dyDescent="0.3">
      <c r="A22" s="47" t="s">
        <v>52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</row>
  </sheetData>
  <mergeCells count="5">
    <mergeCell ref="A22:Q22"/>
    <mergeCell ref="A3:Q3"/>
    <mergeCell ref="A20:D20"/>
    <mergeCell ref="A2:Q2"/>
    <mergeCell ref="A1:Q1"/>
  </mergeCells>
  <phoneticPr fontId="4" type="noConversion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6" sqref="F6"/>
    </sheetView>
  </sheetViews>
  <sheetFormatPr defaultRowHeight="16.5" x14ac:dyDescent="0.3"/>
  <cols>
    <col min="1" max="2" width="22.75" style="18" customWidth="1"/>
    <col min="3" max="3" width="28.75" style="18" customWidth="1"/>
    <col min="4" max="4" width="9.125" style="18" customWidth="1"/>
  </cols>
  <sheetData>
    <row r="1" spans="1:3" ht="42.75" customHeight="1" x14ac:dyDescent="0.3">
      <c r="A1" s="53" t="s">
        <v>53</v>
      </c>
      <c r="B1" s="54"/>
      <c r="C1" s="55"/>
    </row>
    <row r="2" spans="1:3" ht="36" customHeight="1" x14ac:dyDescent="0.3">
      <c r="A2" s="17" t="s">
        <v>54</v>
      </c>
      <c r="B2" s="17" t="s">
        <v>55</v>
      </c>
      <c r="C2" s="17" t="s">
        <v>56</v>
      </c>
    </row>
    <row r="3" spans="1:3" ht="45" customHeight="1" x14ac:dyDescent="0.3">
      <c r="A3" s="13" t="s">
        <v>57</v>
      </c>
      <c r="B3" s="9"/>
      <c r="C3" s="9" t="s">
        <v>58</v>
      </c>
    </row>
    <row r="4" spans="1:3" ht="45" customHeight="1" x14ac:dyDescent="0.3">
      <c r="A4" s="13" t="s">
        <v>59</v>
      </c>
      <c r="B4" s="9"/>
      <c r="C4" s="9" t="s">
        <v>60</v>
      </c>
    </row>
    <row r="5" spans="1:3" ht="45" customHeight="1" x14ac:dyDescent="0.3">
      <c r="A5" s="13" t="s">
        <v>61</v>
      </c>
      <c r="B5" s="9"/>
      <c r="C5" s="9" t="s">
        <v>62</v>
      </c>
    </row>
    <row r="6" spans="1:3" ht="45" customHeight="1" x14ac:dyDescent="0.3">
      <c r="A6" s="13" t="s">
        <v>63</v>
      </c>
      <c r="B6" s="9"/>
      <c r="C6" s="9" t="s">
        <v>64</v>
      </c>
    </row>
    <row r="7" spans="1:3" ht="45" customHeight="1" x14ac:dyDescent="0.3">
      <c r="A7" s="13" t="s">
        <v>65</v>
      </c>
      <c r="B7" s="9"/>
      <c r="C7" s="9"/>
    </row>
    <row r="8" spans="1:3" ht="21" customHeight="1" x14ac:dyDescent="0.3">
      <c r="A8" s="6" t="s">
        <v>66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K5" sqref="K5"/>
    </sheetView>
  </sheetViews>
  <sheetFormatPr defaultRowHeight="16.5" x14ac:dyDescent="0.3"/>
  <cols>
    <col min="1" max="1" width="17.5" style="1" customWidth="1"/>
    <col min="2" max="10" width="9.5" style="18" customWidth="1"/>
    <col min="11" max="11" width="15.75" style="1" customWidth="1"/>
  </cols>
  <sheetData>
    <row r="1" spans="1:11" ht="23.25" customHeight="1" x14ac:dyDescent="0.3">
      <c r="A1" s="14" t="s">
        <v>67</v>
      </c>
      <c r="B1" s="56" t="s">
        <v>68</v>
      </c>
      <c r="C1" s="54"/>
      <c r="D1" s="54"/>
      <c r="E1" s="54"/>
      <c r="F1" s="54"/>
      <c r="G1" s="54"/>
      <c r="H1" s="55"/>
    </row>
    <row r="2" spans="1:11" ht="35.25" customHeight="1" x14ac:dyDescent="0.3">
      <c r="A2" s="15" t="s">
        <v>69</v>
      </c>
      <c r="B2" s="57" t="s">
        <v>70</v>
      </c>
      <c r="C2" s="54"/>
      <c r="D2" s="54"/>
      <c r="E2" s="54"/>
      <c r="F2" s="54"/>
      <c r="G2" s="54"/>
      <c r="H2" s="55"/>
    </row>
    <row r="3" spans="1:11" ht="35.25" customHeight="1" x14ac:dyDescent="0.3">
      <c r="A3" s="15" t="s">
        <v>71</v>
      </c>
      <c r="B3" s="57" t="s">
        <v>72</v>
      </c>
      <c r="C3" s="54"/>
      <c r="D3" s="54"/>
      <c r="E3" s="54"/>
      <c r="F3" s="54"/>
      <c r="G3" s="54"/>
      <c r="H3" s="55"/>
    </row>
    <row r="4" spans="1:11" ht="35.25" customHeight="1" x14ac:dyDescent="0.3">
      <c r="A4" s="15" t="s">
        <v>73</v>
      </c>
      <c r="B4" s="57" t="s">
        <v>29</v>
      </c>
      <c r="C4" s="54"/>
      <c r="D4" s="54"/>
      <c r="E4" s="54"/>
      <c r="F4" s="54"/>
      <c r="G4" s="54"/>
      <c r="H4" s="55"/>
    </row>
    <row r="5" spans="1:11" ht="35.25" customHeight="1" x14ac:dyDescent="0.3">
      <c r="A5" s="15" t="s">
        <v>74</v>
      </c>
      <c r="B5" s="57" t="s">
        <v>75</v>
      </c>
      <c r="C5" s="54"/>
      <c r="D5" s="54"/>
      <c r="E5" s="54"/>
      <c r="F5" s="54"/>
      <c r="G5" s="54"/>
      <c r="H5" s="55"/>
    </row>
    <row r="6" spans="1:11" ht="35.25" customHeight="1" x14ac:dyDescent="0.3">
      <c r="A6" s="15" t="s">
        <v>76</v>
      </c>
      <c r="B6" s="58" t="s">
        <v>77</v>
      </c>
      <c r="C6" s="54"/>
      <c r="D6" s="54"/>
      <c r="E6" s="54"/>
      <c r="F6" s="54"/>
      <c r="G6" s="54"/>
      <c r="H6" s="55"/>
    </row>
    <row r="11" spans="1:11" ht="23.25" customHeight="1" x14ac:dyDescent="0.3">
      <c r="A11" s="14" t="s">
        <v>78</v>
      </c>
      <c r="B11" s="14">
        <v>1</v>
      </c>
      <c r="C11" s="14">
        <v>2</v>
      </c>
      <c r="D11" s="14">
        <v>3</v>
      </c>
      <c r="E11" s="14">
        <v>4</v>
      </c>
      <c r="F11" s="14">
        <v>5</v>
      </c>
      <c r="G11" s="14">
        <v>6</v>
      </c>
      <c r="H11" s="14">
        <v>7</v>
      </c>
      <c r="I11" s="14">
        <v>8</v>
      </c>
      <c r="J11" s="14">
        <v>9</v>
      </c>
      <c r="K11" s="14" t="s">
        <v>79</v>
      </c>
    </row>
    <row r="12" spans="1:11" ht="73.5" customHeight="1" x14ac:dyDescent="0.3">
      <c r="A12" s="2" t="s">
        <v>80</v>
      </c>
      <c r="B12" s="3"/>
      <c r="C12" s="3"/>
      <c r="D12" s="3"/>
      <c r="E12" s="3"/>
      <c r="F12" s="3"/>
      <c r="G12" s="3">
        <v>2</v>
      </c>
      <c r="H12" s="3">
        <v>3</v>
      </c>
      <c r="I12" s="3">
        <v>5</v>
      </c>
      <c r="J12" s="3"/>
      <c r="K12" s="4" t="s">
        <v>81</v>
      </c>
    </row>
    <row r="13" spans="1:11" ht="73.5" customHeight="1" x14ac:dyDescent="0.3">
      <c r="A13" s="2" t="s">
        <v>82</v>
      </c>
      <c r="B13" s="3"/>
      <c r="C13" s="3"/>
      <c r="D13" s="3"/>
      <c r="E13" s="3"/>
      <c r="F13" s="3"/>
      <c r="G13" s="3">
        <v>1</v>
      </c>
      <c r="H13" s="3"/>
      <c r="I13" s="3"/>
      <c r="J13" s="3"/>
      <c r="K13" s="4" t="s">
        <v>81</v>
      </c>
    </row>
  </sheetData>
  <mergeCells count="6">
    <mergeCell ref="B1:H1"/>
    <mergeCell ref="B4:H4"/>
    <mergeCell ref="B6:H6"/>
    <mergeCell ref="B2:H2"/>
    <mergeCell ref="B3:H3"/>
    <mergeCell ref="B5:H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4"/>
  <sheetViews>
    <sheetView topLeftCell="A4" workbookViewId="0"/>
  </sheetViews>
  <sheetFormatPr defaultRowHeight="16.5" x14ac:dyDescent="0.3"/>
  <cols>
    <col min="2" max="2" width="14.625" style="18" customWidth="1"/>
    <col min="25" max="25" width="12.875" style="18" customWidth="1"/>
  </cols>
  <sheetData>
    <row r="2" spans="1:27" ht="32.25" customHeight="1" x14ac:dyDescent="0.3">
      <c r="A2" s="65" t="s">
        <v>83</v>
      </c>
      <c r="B2" s="48"/>
      <c r="C2" s="64"/>
      <c r="D2" s="64"/>
      <c r="E2" s="64"/>
      <c r="F2" s="64"/>
      <c r="G2" s="64"/>
    </row>
    <row r="3" spans="1:27" ht="24" customHeight="1" x14ac:dyDescent="0.3">
      <c r="A3" s="67" t="s">
        <v>84</v>
      </c>
      <c r="B3" s="48"/>
      <c r="C3" s="64"/>
      <c r="D3" s="64"/>
      <c r="E3" s="64"/>
      <c r="F3" s="64"/>
    </row>
    <row r="4" spans="1:27" ht="23.25" customHeight="1" x14ac:dyDescent="0.3">
      <c r="A4" s="7" t="s">
        <v>85</v>
      </c>
      <c r="B4" s="7" t="s">
        <v>86</v>
      </c>
      <c r="C4" s="7" t="s">
        <v>85</v>
      </c>
      <c r="D4" s="66" t="s">
        <v>86</v>
      </c>
      <c r="E4" s="55"/>
    </row>
    <row r="5" spans="1:27" ht="18" customHeight="1" x14ac:dyDescent="0.3">
      <c r="A5" s="8" t="s">
        <v>87</v>
      </c>
      <c r="B5" s="9" t="s">
        <v>10</v>
      </c>
      <c r="C5" s="8" t="s">
        <v>88</v>
      </c>
      <c r="D5" s="59" t="s">
        <v>15</v>
      </c>
      <c r="E5" s="55"/>
    </row>
    <row r="6" spans="1:27" ht="18" customHeight="1" x14ac:dyDescent="0.3">
      <c r="A6" s="8" t="s">
        <v>89</v>
      </c>
      <c r="B6" s="9" t="s">
        <v>11</v>
      </c>
      <c r="C6" s="8" t="s">
        <v>90</v>
      </c>
      <c r="D6" s="59" t="s">
        <v>91</v>
      </c>
      <c r="E6" s="55"/>
    </row>
    <row r="7" spans="1:27" ht="18" customHeight="1" x14ac:dyDescent="0.3">
      <c r="A7" s="8" t="s">
        <v>92</v>
      </c>
      <c r="B7" s="9" t="s">
        <v>12</v>
      </c>
      <c r="C7" s="8" t="s">
        <v>93</v>
      </c>
      <c r="D7" s="59" t="s">
        <v>16</v>
      </c>
      <c r="E7" s="55"/>
    </row>
    <row r="8" spans="1:27" ht="18" customHeight="1" x14ac:dyDescent="0.3">
      <c r="A8" s="8" t="s">
        <v>94</v>
      </c>
      <c r="B8" s="9" t="s">
        <v>13</v>
      </c>
      <c r="C8" s="8" t="s">
        <v>95</v>
      </c>
      <c r="D8" s="59" t="s">
        <v>96</v>
      </c>
      <c r="E8" s="55"/>
    </row>
    <row r="9" spans="1:27" ht="21" customHeight="1" x14ac:dyDescent="0.3">
      <c r="A9" s="63" t="s">
        <v>97</v>
      </c>
      <c r="B9" s="48"/>
      <c r="C9" s="64"/>
      <c r="D9" s="64"/>
      <c r="E9" s="64"/>
      <c r="F9" s="64"/>
      <c r="G9" s="64"/>
      <c r="H9" s="64"/>
      <c r="I9" s="64"/>
    </row>
    <row r="11" spans="1:27" s="10" customFormat="1" ht="36" customHeight="1" x14ac:dyDescent="0.3">
      <c r="A11" s="68" t="s">
        <v>98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 spans="1:27" s="1" customFormat="1" ht="27" customHeight="1" x14ac:dyDescent="0.3">
      <c r="A12" s="62" t="s">
        <v>99</v>
      </c>
      <c r="B12" s="55"/>
      <c r="C12" s="62" t="s">
        <v>8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62" t="s">
        <v>100</v>
      </c>
      <c r="Q12" s="62" t="s">
        <v>101</v>
      </c>
      <c r="R12" s="54"/>
      <c r="S12" s="54"/>
      <c r="T12" s="55"/>
      <c r="U12" s="62" t="s">
        <v>102</v>
      </c>
      <c r="V12" s="62" t="s">
        <v>103</v>
      </c>
      <c r="W12" s="54"/>
      <c r="X12" s="55"/>
      <c r="Y12" s="60" t="s">
        <v>104</v>
      </c>
    </row>
    <row r="13" spans="1:27" s="1" customFormat="1" ht="23.25" customHeight="1" x14ac:dyDescent="0.3">
      <c r="A13" s="16" t="s">
        <v>99</v>
      </c>
      <c r="B13" s="16" t="s">
        <v>4</v>
      </c>
      <c r="C13" s="16">
        <v>1</v>
      </c>
      <c r="D13" s="16">
        <v>2</v>
      </c>
      <c r="E13" s="16">
        <v>3</v>
      </c>
      <c r="F13" s="16">
        <v>4</v>
      </c>
      <c r="G13" s="16">
        <v>5</v>
      </c>
      <c r="H13" s="16">
        <v>6</v>
      </c>
      <c r="I13" s="16">
        <v>7</v>
      </c>
      <c r="J13" s="16">
        <v>8</v>
      </c>
      <c r="K13" s="16">
        <v>9</v>
      </c>
      <c r="L13" s="16">
        <v>10</v>
      </c>
      <c r="M13" s="16">
        <v>11</v>
      </c>
      <c r="N13" s="16">
        <v>12</v>
      </c>
      <c r="O13" s="16">
        <v>13</v>
      </c>
      <c r="P13" s="61"/>
      <c r="Q13" s="16" t="s">
        <v>105</v>
      </c>
      <c r="R13" s="16" t="s">
        <v>106</v>
      </c>
      <c r="S13" s="16" t="s">
        <v>107</v>
      </c>
      <c r="T13" s="16" t="s">
        <v>108</v>
      </c>
      <c r="U13" s="61"/>
      <c r="V13" s="16" t="s">
        <v>88</v>
      </c>
      <c r="W13" s="16" t="s">
        <v>90</v>
      </c>
      <c r="X13" s="16" t="s">
        <v>93</v>
      </c>
      <c r="Y13" s="61"/>
      <c r="Z13" s="19" t="s">
        <v>18</v>
      </c>
      <c r="AA13" s="19" t="s">
        <v>19</v>
      </c>
    </row>
    <row r="14" spans="1:27" ht="30.75" customHeight="1" x14ac:dyDescent="0.3">
      <c r="A14" s="12">
        <v>1</v>
      </c>
      <c r="B14" s="9" t="s">
        <v>38</v>
      </c>
      <c r="C14" s="9" t="s">
        <v>90</v>
      </c>
      <c r="D14" s="9" t="s">
        <v>90</v>
      </c>
      <c r="E14" s="9">
        <v>1</v>
      </c>
      <c r="F14" s="9" t="s">
        <v>90</v>
      </c>
      <c r="G14" s="9"/>
      <c r="H14" s="9"/>
      <c r="I14" s="9"/>
      <c r="J14" s="9"/>
      <c r="K14" s="9"/>
      <c r="L14" s="9"/>
      <c r="M14" s="9"/>
      <c r="N14" s="9"/>
      <c r="O14" s="9"/>
      <c r="P14" s="9">
        <v>4</v>
      </c>
      <c r="Q14" s="9">
        <v>1</v>
      </c>
      <c r="R14" s="9"/>
      <c r="S14" s="9"/>
      <c r="T14" s="9"/>
      <c r="U14" s="9"/>
      <c r="V14" s="9"/>
      <c r="W14" s="9">
        <v>3</v>
      </c>
      <c r="X14" s="9"/>
      <c r="Y14" s="20">
        <f t="shared" ref="Y14:Y19" si="0">IFERROR(ROUND((Q14+R14+S14+T14)/P14,3),0)</f>
        <v>0.25</v>
      </c>
      <c r="Z14" s="21">
        <f t="shared" ref="Z14:Z19" si="1">IFERROR(ROUND((Q14*1+R14*2+S14*3+T14*4)/P14,3),0)</f>
        <v>0.25</v>
      </c>
      <c r="AA14" s="21">
        <f t="shared" ref="AA14:AA19" si="2">IFERROR(ROUND((Q14+R14+S14+T14)/P14,3),0)</f>
        <v>0.25</v>
      </c>
    </row>
    <row r="15" spans="1:27" ht="30.75" customHeight="1" x14ac:dyDescent="0.3">
      <c r="A15" s="12">
        <v>2</v>
      </c>
      <c r="B15" s="9" t="s">
        <v>40</v>
      </c>
      <c r="C15" s="9">
        <v>1</v>
      </c>
      <c r="D15" s="9" t="s">
        <v>90</v>
      </c>
      <c r="E15" s="9" t="s">
        <v>90</v>
      </c>
      <c r="F15" s="9" t="s">
        <v>90</v>
      </c>
      <c r="G15" s="9"/>
      <c r="H15" s="9"/>
      <c r="I15" s="9"/>
      <c r="J15" s="9"/>
      <c r="K15" s="9"/>
      <c r="L15" s="9"/>
      <c r="M15" s="9"/>
      <c r="N15" s="9"/>
      <c r="O15" s="9"/>
      <c r="P15" s="9">
        <v>4</v>
      </c>
      <c r="Q15" s="9">
        <v>1</v>
      </c>
      <c r="R15" s="9"/>
      <c r="S15" s="9"/>
      <c r="T15" s="9"/>
      <c r="U15" s="9"/>
      <c r="V15" s="9"/>
      <c r="W15" s="9">
        <v>3</v>
      </c>
      <c r="X15" s="9"/>
      <c r="Y15" s="20">
        <f t="shared" si="0"/>
        <v>0.25</v>
      </c>
      <c r="Z15" s="21">
        <f t="shared" si="1"/>
        <v>0.25</v>
      </c>
      <c r="AA15" s="21">
        <f t="shared" si="2"/>
        <v>0.25</v>
      </c>
    </row>
    <row r="16" spans="1:27" ht="30.75" customHeight="1" x14ac:dyDescent="0.3">
      <c r="A16" s="12">
        <v>3</v>
      </c>
      <c r="B16" s="9" t="s">
        <v>29</v>
      </c>
      <c r="C16" s="9">
        <v>2</v>
      </c>
      <c r="D16" s="9">
        <v>2</v>
      </c>
      <c r="E16" s="9">
        <v>2</v>
      </c>
      <c r="F16" s="9" t="s">
        <v>90</v>
      </c>
      <c r="G16" s="9"/>
      <c r="H16" s="9"/>
      <c r="I16" s="9"/>
      <c r="J16" s="9"/>
      <c r="K16" s="9"/>
      <c r="L16" s="9"/>
      <c r="M16" s="9"/>
      <c r="N16" s="9"/>
      <c r="O16" s="9"/>
      <c r="P16" s="9">
        <v>4</v>
      </c>
      <c r="Q16" s="9"/>
      <c r="R16" s="9">
        <v>3</v>
      </c>
      <c r="S16" s="9"/>
      <c r="T16" s="9"/>
      <c r="U16" s="9"/>
      <c r="V16" s="9"/>
      <c r="W16" s="9">
        <v>1</v>
      </c>
      <c r="X16" s="9"/>
      <c r="Y16" s="20">
        <f t="shared" si="0"/>
        <v>0.75</v>
      </c>
      <c r="Z16" s="21">
        <f t="shared" si="1"/>
        <v>1.5</v>
      </c>
      <c r="AA16" s="21">
        <f t="shared" si="2"/>
        <v>0.75</v>
      </c>
    </row>
    <row r="17" spans="1:27" ht="30.75" customHeight="1" x14ac:dyDescent="0.3">
      <c r="A17" s="12">
        <v>4</v>
      </c>
      <c r="B17" s="9" t="s">
        <v>50</v>
      </c>
      <c r="C17" s="9" t="s">
        <v>88</v>
      </c>
      <c r="D17" s="9" t="s">
        <v>88</v>
      </c>
      <c r="E17" s="9" t="s">
        <v>88</v>
      </c>
      <c r="F17" s="9" t="s">
        <v>90</v>
      </c>
      <c r="G17" s="9"/>
      <c r="H17" s="9"/>
      <c r="I17" s="9"/>
      <c r="J17" s="9"/>
      <c r="K17" s="9"/>
      <c r="L17" s="9"/>
      <c r="M17" s="9"/>
      <c r="N17" s="9"/>
      <c r="O17" s="9"/>
      <c r="P17" s="9">
        <v>4</v>
      </c>
      <c r="Q17" s="9"/>
      <c r="R17" s="9"/>
      <c r="S17" s="9"/>
      <c r="T17" s="9"/>
      <c r="U17" s="9"/>
      <c r="V17" s="9">
        <v>3</v>
      </c>
      <c r="W17" s="9">
        <v>1</v>
      </c>
      <c r="X17" s="9"/>
      <c r="Y17" s="20">
        <f t="shared" si="0"/>
        <v>0</v>
      </c>
      <c r="Z17" s="21">
        <f t="shared" si="1"/>
        <v>0</v>
      </c>
      <c r="AA17" s="21">
        <f t="shared" si="2"/>
        <v>0</v>
      </c>
    </row>
    <row r="18" spans="1:27" ht="30.75" customHeight="1" x14ac:dyDescent="0.3">
      <c r="A18" s="12">
        <v>5</v>
      </c>
      <c r="B18" s="9" t="s">
        <v>42</v>
      </c>
      <c r="C18" s="9" t="s">
        <v>90</v>
      </c>
      <c r="D18" s="9" t="s">
        <v>90</v>
      </c>
      <c r="E18" s="9" t="s">
        <v>93</v>
      </c>
      <c r="F18" s="9">
        <v>3</v>
      </c>
      <c r="G18" s="9"/>
      <c r="H18" s="9"/>
      <c r="I18" s="9"/>
      <c r="J18" s="9"/>
      <c r="K18" s="9"/>
      <c r="L18" s="9"/>
      <c r="M18" s="9"/>
      <c r="N18" s="9"/>
      <c r="O18" s="9"/>
      <c r="P18" s="9">
        <v>4</v>
      </c>
      <c r="Q18" s="9"/>
      <c r="R18" s="9"/>
      <c r="S18" s="9">
        <v>1</v>
      </c>
      <c r="T18" s="9"/>
      <c r="U18" s="9"/>
      <c r="V18" s="9"/>
      <c r="W18" s="9">
        <v>2</v>
      </c>
      <c r="X18" s="9">
        <v>1</v>
      </c>
      <c r="Y18" s="20">
        <f t="shared" si="0"/>
        <v>0.25</v>
      </c>
      <c r="Z18" s="21">
        <f t="shared" si="1"/>
        <v>0.75</v>
      </c>
      <c r="AA18" s="21">
        <f t="shared" si="2"/>
        <v>0.25</v>
      </c>
    </row>
    <row r="19" spans="1:27" ht="30.75" customHeight="1" x14ac:dyDescent="0.3">
      <c r="A19" s="12">
        <v>6</v>
      </c>
      <c r="B19" s="9" t="s">
        <v>36</v>
      </c>
      <c r="C19" s="9" t="s">
        <v>90</v>
      </c>
      <c r="D19" s="9">
        <v>1</v>
      </c>
      <c r="E19" s="9" t="s">
        <v>90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>
        <v>3</v>
      </c>
      <c r="Q19" s="9">
        <v>1</v>
      </c>
      <c r="R19" s="9"/>
      <c r="S19" s="9"/>
      <c r="T19" s="9"/>
      <c r="U19" s="9"/>
      <c r="V19" s="9"/>
      <c r="W19" s="9">
        <v>2</v>
      </c>
      <c r="X19" s="9"/>
      <c r="Y19" s="20">
        <f t="shared" si="0"/>
        <v>0.33300000000000002</v>
      </c>
      <c r="Z19" s="21">
        <f t="shared" si="1"/>
        <v>0.33300000000000002</v>
      </c>
      <c r="AA19" s="21">
        <f t="shared" si="2"/>
        <v>0.33300000000000002</v>
      </c>
    </row>
    <row r="20" spans="1:27" ht="30.75" customHeight="1" x14ac:dyDescent="0.3">
      <c r="A20" s="12">
        <v>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1"/>
    </row>
    <row r="21" spans="1:27" ht="30.75" customHeight="1" x14ac:dyDescent="0.3">
      <c r="A21" s="12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1"/>
    </row>
    <row r="22" spans="1:27" ht="30.75" customHeight="1" x14ac:dyDescent="0.3">
      <c r="A22" s="12">
        <v>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1"/>
    </row>
    <row r="23" spans="1:27" ht="30.75" customHeight="1" x14ac:dyDescent="0.3">
      <c r="A23" s="12">
        <v>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</row>
    <row r="24" spans="1:27" ht="30.75" customHeight="1" x14ac:dyDescent="0.3">
      <c r="A24" s="12" t="s">
        <v>109</v>
      </c>
      <c r="B24" s="9"/>
      <c r="C24" s="9"/>
      <c r="D24" s="9"/>
      <c r="E24" s="9"/>
      <c r="F24" s="9"/>
      <c r="G24" s="9"/>
      <c r="H24" s="9"/>
      <c r="I24" s="9"/>
      <c r="J24" s="11"/>
      <c r="K24" s="11"/>
      <c r="L24" s="9"/>
      <c r="M24" s="9"/>
      <c r="N24" s="11"/>
      <c r="O24" s="11"/>
      <c r="P24" s="11">
        <f t="shared" ref="P24:X24" si="3">SUM(P14:P19)</f>
        <v>23</v>
      </c>
      <c r="Q24" s="11">
        <f t="shared" si="3"/>
        <v>3</v>
      </c>
      <c r="R24" s="11">
        <f t="shared" si="3"/>
        <v>3</v>
      </c>
      <c r="S24" s="11">
        <f t="shared" si="3"/>
        <v>1</v>
      </c>
      <c r="T24" s="11">
        <f t="shared" si="3"/>
        <v>0</v>
      </c>
      <c r="U24" s="11">
        <f t="shared" si="3"/>
        <v>0</v>
      </c>
      <c r="V24" s="11">
        <f t="shared" si="3"/>
        <v>3</v>
      </c>
      <c r="W24" s="11">
        <f t="shared" si="3"/>
        <v>12</v>
      </c>
      <c r="X24" s="11">
        <f t="shared" si="3"/>
        <v>1</v>
      </c>
      <c r="Y24" s="20">
        <f>IFERROR(ROUND((Q24+R24+S24+T24)/P24,3),0)</f>
        <v>0.30399999999999999</v>
      </c>
      <c r="Z24" s="22">
        <f>IFERROR(ROUND((Q24*1+R24*2+S24*3+T24*4)/P24,3),0)</f>
        <v>0.52200000000000002</v>
      </c>
      <c r="AA24" s="22">
        <f>IFERROR(ROUND((Q24+R24+S24+T24)/P24,3),0)</f>
        <v>0.30399999999999999</v>
      </c>
    </row>
  </sheetData>
  <mergeCells count="16">
    <mergeCell ref="A2:G2"/>
    <mergeCell ref="D4:E4"/>
    <mergeCell ref="C12:O12"/>
    <mergeCell ref="U12:U13"/>
    <mergeCell ref="V12:X12"/>
    <mergeCell ref="A3:F3"/>
    <mergeCell ref="Q12:T12"/>
    <mergeCell ref="A11:X11"/>
    <mergeCell ref="A12:B12"/>
    <mergeCell ref="D8:E8"/>
    <mergeCell ref="D6:E6"/>
    <mergeCell ref="D7:E7"/>
    <mergeCell ref="Y12:Y13"/>
    <mergeCell ref="D5:E5"/>
    <mergeCell ref="P12:P13"/>
    <mergeCell ref="A9:I9"/>
  </mergeCells>
  <phoneticPr fontId="4" type="noConversion"/>
  <pageMargins left="0.7" right="0.7" top="0.75" bottom="0.75" header="0.3" footer="0.3"/>
  <pageSetup paperSize="9" orientation="portrait" verticalDpi="0" copies="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4"/>
  <sheetViews>
    <sheetView topLeftCell="A4" workbookViewId="0"/>
  </sheetViews>
  <sheetFormatPr defaultRowHeight="16.5" x14ac:dyDescent="0.3"/>
  <cols>
    <col min="2" max="2" width="14.625" style="18" customWidth="1"/>
    <col min="25" max="25" width="12.875" style="18" customWidth="1"/>
  </cols>
  <sheetData>
    <row r="2" spans="1:27" ht="32.25" customHeight="1" x14ac:dyDescent="0.3">
      <c r="A2" s="65" t="s">
        <v>83</v>
      </c>
      <c r="B2" s="48"/>
      <c r="C2" s="64"/>
      <c r="D2" s="64"/>
      <c r="E2" s="64"/>
      <c r="F2" s="64"/>
      <c r="G2" s="64"/>
    </row>
    <row r="3" spans="1:27" ht="24" customHeight="1" x14ac:dyDescent="0.3">
      <c r="A3" s="67" t="s">
        <v>84</v>
      </c>
      <c r="B3" s="48"/>
      <c r="C3" s="64"/>
      <c r="D3" s="64"/>
      <c r="E3" s="64"/>
      <c r="F3" s="64"/>
    </row>
    <row r="4" spans="1:27" ht="23.25" customHeight="1" x14ac:dyDescent="0.3">
      <c r="A4" s="7" t="s">
        <v>85</v>
      </c>
      <c r="B4" s="7" t="s">
        <v>86</v>
      </c>
      <c r="C4" s="7" t="s">
        <v>85</v>
      </c>
      <c r="D4" s="66" t="s">
        <v>86</v>
      </c>
      <c r="E4" s="55"/>
    </row>
    <row r="5" spans="1:27" ht="18" customHeight="1" x14ac:dyDescent="0.3">
      <c r="A5" s="8" t="s">
        <v>87</v>
      </c>
      <c r="B5" s="9" t="s">
        <v>10</v>
      </c>
      <c r="C5" s="8" t="s">
        <v>88</v>
      </c>
      <c r="D5" s="59" t="s">
        <v>15</v>
      </c>
      <c r="E5" s="55"/>
    </row>
    <row r="6" spans="1:27" ht="18" customHeight="1" x14ac:dyDescent="0.3">
      <c r="A6" s="8" t="s">
        <v>89</v>
      </c>
      <c r="B6" s="9" t="s">
        <v>11</v>
      </c>
      <c r="C6" s="8" t="s">
        <v>90</v>
      </c>
      <c r="D6" s="59" t="s">
        <v>91</v>
      </c>
      <c r="E6" s="55"/>
    </row>
    <row r="7" spans="1:27" ht="18" customHeight="1" x14ac:dyDescent="0.3">
      <c r="A7" s="8" t="s">
        <v>92</v>
      </c>
      <c r="B7" s="9" t="s">
        <v>12</v>
      </c>
      <c r="C7" s="8" t="s">
        <v>93</v>
      </c>
      <c r="D7" s="59" t="s">
        <v>16</v>
      </c>
      <c r="E7" s="55"/>
    </row>
    <row r="8" spans="1:27" ht="18" customHeight="1" x14ac:dyDescent="0.3">
      <c r="A8" s="8" t="s">
        <v>94</v>
      </c>
      <c r="B8" s="9" t="s">
        <v>13</v>
      </c>
      <c r="C8" s="8" t="s">
        <v>95</v>
      </c>
      <c r="D8" s="59" t="s">
        <v>96</v>
      </c>
      <c r="E8" s="55"/>
    </row>
    <row r="9" spans="1:27" ht="21" customHeight="1" x14ac:dyDescent="0.3">
      <c r="A9" s="63" t="s">
        <v>97</v>
      </c>
      <c r="B9" s="48"/>
      <c r="C9" s="64"/>
      <c r="D9" s="64"/>
      <c r="E9" s="64"/>
      <c r="F9" s="64"/>
      <c r="G9" s="64"/>
      <c r="H9" s="64"/>
      <c r="I9" s="64"/>
    </row>
    <row r="11" spans="1:27" s="10" customFormat="1" ht="36" customHeight="1" x14ac:dyDescent="0.3">
      <c r="A11" s="68" t="s">
        <v>98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 spans="1:27" s="1" customFormat="1" ht="27" customHeight="1" x14ac:dyDescent="0.3">
      <c r="A12" s="62" t="s">
        <v>99</v>
      </c>
      <c r="B12" s="55"/>
      <c r="C12" s="62" t="s">
        <v>8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62" t="s">
        <v>100</v>
      </c>
      <c r="Q12" s="62" t="s">
        <v>101</v>
      </c>
      <c r="R12" s="54"/>
      <c r="S12" s="54"/>
      <c r="T12" s="55"/>
      <c r="U12" s="62" t="s">
        <v>102</v>
      </c>
      <c r="V12" s="62" t="s">
        <v>103</v>
      </c>
      <c r="W12" s="54"/>
      <c r="X12" s="55"/>
      <c r="Y12" s="60" t="s">
        <v>104</v>
      </c>
    </row>
    <row r="13" spans="1:27" s="1" customFormat="1" ht="23.25" customHeight="1" x14ac:dyDescent="0.3">
      <c r="A13" s="16" t="s">
        <v>99</v>
      </c>
      <c r="B13" s="16" t="s">
        <v>4</v>
      </c>
      <c r="C13" s="16">
        <v>1</v>
      </c>
      <c r="D13" s="16">
        <v>2</v>
      </c>
      <c r="E13" s="16">
        <v>3</v>
      </c>
      <c r="F13" s="16">
        <v>4</v>
      </c>
      <c r="G13" s="16">
        <v>5</v>
      </c>
      <c r="H13" s="16">
        <v>6</v>
      </c>
      <c r="I13" s="16">
        <v>7</v>
      </c>
      <c r="J13" s="16">
        <v>8</v>
      </c>
      <c r="K13" s="16">
        <v>9</v>
      </c>
      <c r="L13" s="16">
        <v>10</v>
      </c>
      <c r="M13" s="16">
        <v>11</v>
      </c>
      <c r="N13" s="16">
        <v>12</v>
      </c>
      <c r="O13" s="16">
        <v>13</v>
      </c>
      <c r="P13" s="61"/>
      <c r="Q13" s="16" t="s">
        <v>105</v>
      </c>
      <c r="R13" s="16" t="s">
        <v>106</v>
      </c>
      <c r="S13" s="16" t="s">
        <v>107</v>
      </c>
      <c r="T13" s="16" t="s">
        <v>108</v>
      </c>
      <c r="U13" s="61"/>
      <c r="V13" s="16" t="s">
        <v>88</v>
      </c>
      <c r="W13" s="16" t="s">
        <v>90</v>
      </c>
      <c r="X13" s="16" t="s">
        <v>93</v>
      </c>
      <c r="Y13" s="61"/>
      <c r="Z13" s="19" t="s">
        <v>18</v>
      </c>
      <c r="AA13" s="19" t="s">
        <v>19</v>
      </c>
    </row>
    <row r="14" spans="1:27" ht="30.75" customHeight="1" x14ac:dyDescent="0.3">
      <c r="A14" s="12">
        <v>1</v>
      </c>
      <c r="B14" s="9" t="s">
        <v>48</v>
      </c>
      <c r="C14" s="9" t="s">
        <v>88</v>
      </c>
      <c r="D14" s="9" t="s">
        <v>88</v>
      </c>
      <c r="E14" s="9" t="s">
        <v>88</v>
      </c>
      <c r="F14" s="9" t="s">
        <v>88</v>
      </c>
      <c r="G14" s="9" t="s">
        <v>90</v>
      </c>
      <c r="H14" s="9">
        <v>1</v>
      </c>
      <c r="I14" s="9"/>
      <c r="J14" s="9"/>
      <c r="K14" s="9"/>
      <c r="L14" s="9"/>
      <c r="M14" s="9"/>
      <c r="N14" s="9"/>
      <c r="O14" s="9"/>
      <c r="P14" s="9">
        <v>6</v>
      </c>
      <c r="Q14" s="9">
        <v>1</v>
      </c>
      <c r="R14" s="9"/>
      <c r="S14" s="9"/>
      <c r="T14" s="9"/>
      <c r="U14" s="9"/>
      <c r="V14" s="9">
        <v>4</v>
      </c>
      <c r="W14" s="9">
        <v>1</v>
      </c>
      <c r="X14" s="9"/>
      <c r="Y14" s="20">
        <f t="shared" ref="Y14:Y21" si="0">IFERROR(ROUND((Q14+R14+S14+T14)/P14,3),0)</f>
        <v>0.16700000000000001</v>
      </c>
      <c r="Z14" s="21">
        <f t="shared" ref="Z14:Z21" si="1">IFERROR(ROUND((Q14*1+R14*2+S14*3+T14*4)/P14,3),0)</f>
        <v>0.16700000000000001</v>
      </c>
      <c r="AA14" s="21">
        <f t="shared" ref="AA14:AA21" si="2">IFERROR(ROUND((Q14+R14+S14+T14)/P14,3),0)</f>
        <v>0.16700000000000001</v>
      </c>
    </row>
    <row r="15" spans="1:27" ht="30.75" customHeight="1" x14ac:dyDescent="0.3">
      <c r="A15" s="12">
        <v>2</v>
      </c>
      <c r="B15" s="9" t="s">
        <v>34</v>
      </c>
      <c r="C15" s="9" t="s">
        <v>88</v>
      </c>
      <c r="D15" s="9">
        <v>1</v>
      </c>
      <c r="E15" s="9">
        <v>2</v>
      </c>
      <c r="F15" s="9" t="s">
        <v>90</v>
      </c>
      <c r="G15" s="9">
        <v>2</v>
      </c>
      <c r="H15" s="9" t="s">
        <v>90</v>
      </c>
      <c r="I15" s="9"/>
      <c r="J15" s="9"/>
      <c r="K15" s="9"/>
      <c r="L15" s="9"/>
      <c r="M15" s="9"/>
      <c r="N15" s="9"/>
      <c r="O15" s="9"/>
      <c r="P15" s="9">
        <v>6</v>
      </c>
      <c r="Q15" s="9">
        <v>1</v>
      </c>
      <c r="R15" s="9">
        <v>2</v>
      </c>
      <c r="S15" s="9"/>
      <c r="T15" s="9"/>
      <c r="U15" s="9"/>
      <c r="V15" s="9">
        <v>1</v>
      </c>
      <c r="W15" s="9">
        <v>2</v>
      </c>
      <c r="X15" s="9"/>
      <c r="Y15" s="20">
        <f t="shared" si="0"/>
        <v>0.5</v>
      </c>
      <c r="Z15" s="21">
        <f t="shared" si="1"/>
        <v>0.83299999999999996</v>
      </c>
      <c r="AA15" s="21">
        <f t="shared" si="2"/>
        <v>0.5</v>
      </c>
    </row>
    <row r="16" spans="1:27" ht="30.75" customHeight="1" x14ac:dyDescent="0.3">
      <c r="A16" s="12">
        <v>3</v>
      </c>
      <c r="B16" s="9" t="s">
        <v>32</v>
      </c>
      <c r="C16" s="9" t="s">
        <v>90</v>
      </c>
      <c r="D16" s="9" t="s">
        <v>94</v>
      </c>
      <c r="E16" s="9" t="s">
        <v>94</v>
      </c>
      <c r="F16" s="9" t="s">
        <v>94</v>
      </c>
      <c r="G16" s="9" t="s">
        <v>90</v>
      </c>
      <c r="H16" s="9"/>
      <c r="I16" s="9"/>
      <c r="J16" s="9"/>
      <c r="K16" s="9"/>
      <c r="L16" s="9"/>
      <c r="M16" s="9"/>
      <c r="N16" s="9"/>
      <c r="O16" s="9"/>
      <c r="P16" s="9">
        <v>5</v>
      </c>
      <c r="Q16" s="9"/>
      <c r="R16" s="9"/>
      <c r="S16" s="9"/>
      <c r="T16" s="9">
        <v>3</v>
      </c>
      <c r="U16" s="9"/>
      <c r="V16" s="9"/>
      <c r="W16" s="9">
        <v>2</v>
      </c>
      <c r="X16" s="9"/>
      <c r="Y16" s="20">
        <f t="shared" si="0"/>
        <v>0.6</v>
      </c>
      <c r="Z16" s="21">
        <f t="shared" si="1"/>
        <v>2.4</v>
      </c>
      <c r="AA16" s="21">
        <f t="shared" si="2"/>
        <v>0.6</v>
      </c>
    </row>
    <row r="17" spans="1:27" ht="30.75" customHeight="1" x14ac:dyDescent="0.3">
      <c r="A17" s="12">
        <v>4</v>
      </c>
      <c r="B17" s="9" t="s">
        <v>27</v>
      </c>
      <c r="C17" s="9">
        <v>1</v>
      </c>
      <c r="D17" s="9" t="s">
        <v>90</v>
      </c>
      <c r="E17" s="9" t="s">
        <v>94</v>
      </c>
      <c r="F17" s="9">
        <v>1</v>
      </c>
      <c r="G17" s="9">
        <v>1</v>
      </c>
      <c r="H17" s="9"/>
      <c r="I17" s="9"/>
      <c r="J17" s="9"/>
      <c r="K17" s="9"/>
      <c r="L17" s="9"/>
      <c r="M17" s="9"/>
      <c r="N17" s="9"/>
      <c r="O17" s="9"/>
      <c r="P17" s="9">
        <v>5</v>
      </c>
      <c r="Q17" s="9">
        <v>3</v>
      </c>
      <c r="R17" s="9"/>
      <c r="S17" s="9"/>
      <c r="T17" s="9">
        <v>1</v>
      </c>
      <c r="U17" s="9"/>
      <c r="V17" s="9"/>
      <c r="W17" s="9">
        <v>1</v>
      </c>
      <c r="X17" s="9"/>
      <c r="Y17" s="20">
        <f t="shared" si="0"/>
        <v>0.8</v>
      </c>
      <c r="Z17" s="21">
        <f t="shared" si="1"/>
        <v>1.4</v>
      </c>
      <c r="AA17" s="21">
        <f t="shared" si="2"/>
        <v>0.8</v>
      </c>
    </row>
    <row r="18" spans="1:27" ht="30.75" customHeight="1" x14ac:dyDescent="0.3">
      <c r="A18" s="12">
        <v>5</v>
      </c>
      <c r="B18" s="9" t="s">
        <v>44</v>
      </c>
      <c r="C18" s="9" t="s">
        <v>88</v>
      </c>
      <c r="D18" s="9" t="s">
        <v>88</v>
      </c>
      <c r="E18" s="9" t="s">
        <v>88</v>
      </c>
      <c r="F18" s="9">
        <v>1</v>
      </c>
      <c r="G18" s="9" t="s">
        <v>88</v>
      </c>
      <c r="H18" s="9"/>
      <c r="I18" s="9"/>
      <c r="J18" s="9"/>
      <c r="K18" s="9"/>
      <c r="L18" s="9"/>
      <c r="M18" s="9"/>
      <c r="N18" s="9"/>
      <c r="O18" s="9"/>
      <c r="P18" s="9">
        <v>5</v>
      </c>
      <c r="Q18" s="9">
        <v>1</v>
      </c>
      <c r="R18" s="9"/>
      <c r="S18" s="9"/>
      <c r="T18" s="9"/>
      <c r="U18" s="9"/>
      <c r="V18" s="9">
        <v>4</v>
      </c>
      <c r="W18" s="9"/>
      <c r="X18" s="9"/>
      <c r="Y18" s="20">
        <f t="shared" si="0"/>
        <v>0.2</v>
      </c>
      <c r="Z18" s="21">
        <f t="shared" si="1"/>
        <v>0.2</v>
      </c>
      <c r="AA18" s="21">
        <f t="shared" si="2"/>
        <v>0.2</v>
      </c>
    </row>
    <row r="19" spans="1:27" ht="30.75" customHeight="1" x14ac:dyDescent="0.3">
      <c r="A19" s="12">
        <v>6</v>
      </c>
      <c r="B19" s="9" t="s">
        <v>46</v>
      </c>
      <c r="C19" s="9" t="s">
        <v>88</v>
      </c>
      <c r="D19" s="9">
        <v>2</v>
      </c>
      <c r="E19" s="9" t="s">
        <v>90</v>
      </c>
      <c r="F19" s="9" t="s">
        <v>90</v>
      </c>
      <c r="G19" s="9" t="s">
        <v>90</v>
      </c>
      <c r="H19" s="9"/>
      <c r="I19" s="9"/>
      <c r="J19" s="9"/>
      <c r="K19" s="9"/>
      <c r="L19" s="9"/>
      <c r="M19" s="9"/>
      <c r="N19" s="9"/>
      <c r="O19" s="9"/>
      <c r="P19" s="9">
        <v>5</v>
      </c>
      <c r="Q19" s="9"/>
      <c r="R19" s="9">
        <v>1</v>
      </c>
      <c r="S19" s="9"/>
      <c r="T19" s="9"/>
      <c r="U19" s="9"/>
      <c r="V19" s="9">
        <v>1</v>
      </c>
      <c r="W19" s="9">
        <v>3</v>
      </c>
      <c r="X19" s="9"/>
      <c r="Y19" s="20">
        <f t="shared" si="0"/>
        <v>0.2</v>
      </c>
      <c r="Z19" s="21">
        <f t="shared" si="1"/>
        <v>0.4</v>
      </c>
      <c r="AA19" s="21">
        <f t="shared" si="2"/>
        <v>0.2</v>
      </c>
    </row>
    <row r="20" spans="1:27" ht="30.75" customHeight="1" x14ac:dyDescent="0.3">
      <c r="A20" s="12">
        <v>7</v>
      </c>
      <c r="B20" s="9" t="s">
        <v>21</v>
      </c>
      <c r="C20" s="9">
        <v>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>
        <v>1</v>
      </c>
      <c r="Q20" s="9">
        <v>1</v>
      </c>
      <c r="R20" s="9"/>
      <c r="S20" s="9"/>
      <c r="T20" s="9"/>
      <c r="U20" s="9"/>
      <c r="V20" s="9"/>
      <c r="W20" s="9"/>
      <c r="X20" s="9"/>
      <c r="Y20" s="20">
        <f t="shared" si="0"/>
        <v>1</v>
      </c>
      <c r="Z20" s="21">
        <f t="shared" si="1"/>
        <v>1</v>
      </c>
      <c r="AA20" s="21">
        <f t="shared" si="2"/>
        <v>1</v>
      </c>
    </row>
    <row r="21" spans="1:27" ht="30.75" customHeight="1" x14ac:dyDescent="0.3">
      <c r="A21" s="12">
        <v>8</v>
      </c>
      <c r="B21" s="9" t="s">
        <v>25</v>
      </c>
      <c r="C21" s="9">
        <v>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>
        <v>1</v>
      </c>
      <c r="Q21" s="9"/>
      <c r="R21" s="9">
        <v>1</v>
      </c>
      <c r="S21" s="9"/>
      <c r="T21" s="9"/>
      <c r="U21" s="9"/>
      <c r="V21" s="9"/>
      <c r="W21" s="9"/>
      <c r="X21" s="9"/>
      <c r="Y21" s="20">
        <f t="shared" si="0"/>
        <v>1</v>
      </c>
      <c r="Z21" s="21">
        <f t="shared" si="1"/>
        <v>2</v>
      </c>
      <c r="AA21" s="21">
        <f t="shared" si="2"/>
        <v>1</v>
      </c>
    </row>
    <row r="22" spans="1:27" ht="30.75" customHeight="1" x14ac:dyDescent="0.3">
      <c r="A22" s="12">
        <v>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1"/>
    </row>
    <row r="23" spans="1:27" ht="30.75" customHeight="1" x14ac:dyDescent="0.3">
      <c r="A23" s="12">
        <v>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</row>
    <row r="24" spans="1:27" ht="30.75" customHeight="1" x14ac:dyDescent="0.3">
      <c r="A24" s="12" t="s">
        <v>109</v>
      </c>
      <c r="B24" s="9"/>
      <c r="C24" s="9"/>
      <c r="D24" s="9"/>
      <c r="E24" s="9"/>
      <c r="F24" s="9"/>
      <c r="G24" s="9"/>
      <c r="H24" s="9"/>
      <c r="I24" s="9"/>
      <c r="J24" s="11"/>
      <c r="K24" s="11"/>
      <c r="L24" s="9"/>
      <c r="M24" s="9"/>
      <c r="N24" s="11"/>
      <c r="O24" s="11"/>
      <c r="P24" s="11">
        <f t="shared" ref="P24:X24" si="3">SUM(P14:P21)</f>
        <v>34</v>
      </c>
      <c r="Q24" s="11">
        <f t="shared" si="3"/>
        <v>7</v>
      </c>
      <c r="R24" s="11">
        <f t="shared" si="3"/>
        <v>4</v>
      </c>
      <c r="S24" s="11">
        <f t="shared" si="3"/>
        <v>0</v>
      </c>
      <c r="T24" s="11">
        <f t="shared" si="3"/>
        <v>4</v>
      </c>
      <c r="U24" s="11">
        <f t="shared" si="3"/>
        <v>0</v>
      </c>
      <c r="V24" s="11">
        <f t="shared" si="3"/>
        <v>10</v>
      </c>
      <c r="W24" s="11">
        <f t="shared" si="3"/>
        <v>9</v>
      </c>
      <c r="X24" s="11">
        <f t="shared" si="3"/>
        <v>0</v>
      </c>
      <c r="Y24" s="20">
        <f>IFERROR(ROUND((Q24+R24+S24+T24)/P24,3),0)</f>
        <v>0.441</v>
      </c>
      <c r="Z24" s="22">
        <f>IFERROR(ROUND((Q24*1+R24*2+S24*3+T24*4)/P24,3),0)</f>
        <v>0.91200000000000003</v>
      </c>
      <c r="AA24" s="22">
        <f>IFERROR(ROUND((Q24+R24+S24+T24)/P24,3),0)</f>
        <v>0.441</v>
      </c>
    </row>
  </sheetData>
  <mergeCells count="16">
    <mergeCell ref="A3:F3"/>
    <mergeCell ref="A2:G2"/>
    <mergeCell ref="D4:E4"/>
    <mergeCell ref="A12:B12"/>
    <mergeCell ref="D8:E8"/>
    <mergeCell ref="D6:E6"/>
    <mergeCell ref="D7:E7"/>
    <mergeCell ref="Y12:Y13"/>
    <mergeCell ref="D5:E5"/>
    <mergeCell ref="P12:P13"/>
    <mergeCell ref="A9:I9"/>
    <mergeCell ref="A11:X11"/>
    <mergeCell ref="C12:O12"/>
    <mergeCell ref="Q12:T12"/>
    <mergeCell ref="U12:U13"/>
    <mergeCell ref="V12:X12"/>
  </mergeCells>
  <phoneticPr fontId="4" type="noConversion"/>
  <pageMargins left="0.7" right="0.7" top="0.75" bottom="0.75" header="0.3" footer="0.3"/>
  <pageSetup paperSize="9" orientation="portrait" verticalDpi="0" copies="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G8" sqref="G8"/>
    </sheetView>
  </sheetViews>
  <sheetFormatPr defaultRowHeight="16.5" x14ac:dyDescent="0.3"/>
  <cols>
    <col min="1" max="1" width="25.125" style="18" customWidth="1"/>
    <col min="2" max="2" width="31.875" style="18" customWidth="1"/>
    <col min="3" max="3" width="7.875" style="18" bestFit="1" customWidth="1"/>
  </cols>
  <sheetData>
    <row r="1" spans="1:3" ht="32.25" customHeight="1" x14ac:dyDescent="0.3">
      <c r="A1" s="71" t="s">
        <v>110</v>
      </c>
      <c r="B1" s="48"/>
      <c r="C1" s="48"/>
    </row>
    <row r="2" spans="1:3" ht="26.25" customHeight="1" x14ac:dyDescent="0.3">
      <c r="A2" s="6" t="s">
        <v>111</v>
      </c>
    </row>
    <row r="3" spans="1:3" ht="23.25" customHeight="1" x14ac:dyDescent="0.3">
      <c r="A3" s="17" t="s">
        <v>112</v>
      </c>
      <c r="B3" s="17" t="s">
        <v>113</v>
      </c>
      <c r="C3" s="17" t="s">
        <v>114</v>
      </c>
    </row>
    <row r="4" spans="1:3" ht="31.5" customHeight="1" x14ac:dyDescent="0.3">
      <c r="A4" s="8" t="s">
        <v>115</v>
      </c>
      <c r="B4" s="9" t="s">
        <v>116</v>
      </c>
      <c r="C4" s="9" t="s">
        <v>117</v>
      </c>
    </row>
    <row r="5" spans="1:3" ht="31.5" customHeight="1" x14ac:dyDescent="0.3">
      <c r="A5" s="8" t="s">
        <v>118</v>
      </c>
      <c r="B5" s="9" t="s">
        <v>119</v>
      </c>
      <c r="C5" s="9" t="s">
        <v>117</v>
      </c>
    </row>
    <row r="6" spans="1:3" ht="31.5" customHeight="1" x14ac:dyDescent="0.3">
      <c r="A6" s="8" t="s">
        <v>120</v>
      </c>
      <c r="B6" s="9" t="s">
        <v>121</v>
      </c>
      <c r="C6" s="9" t="s">
        <v>117</v>
      </c>
    </row>
    <row r="7" spans="1:3" ht="31.5" customHeight="1" x14ac:dyDescent="0.3">
      <c r="A7" s="8" t="s">
        <v>122</v>
      </c>
      <c r="B7" s="9" t="s">
        <v>123</v>
      </c>
      <c r="C7" s="9" t="s">
        <v>117</v>
      </c>
    </row>
    <row r="8" spans="1:3" ht="31.5" customHeight="1" x14ac:dyDescent="0.3">
      <c r="A8" s="8" t="s">
        <v>124</v>
      </c>
      <c r="B8" s="9" t="s">
        <v>125</v>
      </c>
      <c r="C8" s="9" t="s">
        <v>117</v>
      </c>
    </row>
    <row r="9" spans="1:3" ht="31.5" customHeight="1" x14ac:dyDescent="0.3">
      <c r="A9" s="8" t="s">
        <v>126</v>
      </c>
      <c r="B9" s="9" t="s">
        <v>127</v>
      </c>
      <c r="C9" s="9" t="s">
        <v>117</v>
      </c>
    </row>
    <row r="10" spans="1:3" ht="31.5" customHeight="1" x14ac:dyDescent="0.3">
      <c r="A10" s="8" t="s">
        <v>128</v>
      </c>
      <c r="B10" s="9" t="s">
        <v>129</v>
      </c>
      <c r="C10" s="9" t="s">
        <v>117</v>
      </c>
    </row>
    <row r="11" spans="1:3" ht="29.25" customHeight="1" x14ac:dyDescent="0.3">
      <c r="A11" s="6" t="s">
        <v>130</v>
      </c>
    </row>
    <row r="12" spans="1:3" ht="29.25" customHeight="1" x14ac:dyDescent="0.3">
      <c r="A12" s="70" t="s">
        <v>131</v>
      </c>
      <c r="B12" s="48"/>
    </row>
    <row r="13" spans="1:3" ht="29.25" customHeight="1" x14ac:dyDescent="0.3">
      <c r="A13" s="67" t="s">
        <v>132</v>
      </c>
      <c r="B13" s="48"/>
    </row>
    <row r="14" spans="1:3" ht="29.25" customHeight="1" x14ac:dyDescent="0.3">
      <c r="A14" s="67" t="s">
        <v>133</v>
      </c>
      <c r="B14" s="48"/>
    </row>
    <row r="15" spans="1:3" ht="29.25" customHeight="1" x14ac:dyDescent="0.3">
      <c r="A15" s="70" t="s">
        <v>134</v>
      </c>
      <c r="B15" s="48"/>
    </row>
    <row r="16" spans="1:3" ht="29.25" customHeight="1" x14ac:dyDescent="0.3">
      <c r="A16" s="67" t="s">
        <v>135</v>
      </c>
      <c r="B16" s="48"/>
    </row>
    <row r="17" spans="1:2" ht="29.25" customHeight="1" x14ac:dyDescent="0.3">
      <c r="A17" s="67" t="s">
        <v>136</v>
      </c>
      <c r="B17" s="48"/>
    </row>
    <row r="18" spans="1:2" ht="29.25" customHeight="1" x14ac:dyDescent="0.3">
      <c r="A18" s="67" t="s">
        <v>137</v>
      </c>
      <c r="B18" s="48"/>
    </row>
  </sheetData>
  <mergeCells count="8">
    <mergeCell ref="A17:B17"/>
    <mergeCell ref="A18:B18"/>
    <mergeCell ref="A12:B12"/>
    <mergeCell ref="A16:B16"/>
    <mergeCell ref="A15:B15"/>
    <mergeCell ref="A1:C1"/>
    <mergeCell ref="A13:B13"/>
    <mergeCell ref="A14:B14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2" workbookViewId="0">
      <selection activeCell="H12" sqref="H12"/>
    </sheetView>
  </sheetViews>
  <sheetFormatPr defaultRowHeight="16.5" x14ac:dyDescent="0.3"/>
  <sheetData>
    <row r="1" spans="1:1" x14ac:dyDescent="0.3">
      <c r="A1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169</v>
      </c>
    </row>
    <row r="10" spans="1:1" x14ac:dyDescent="0.3">
      <c r="A10" t="s">
        <v>171</v>
      </c>
    </row>
    <row r="11" spans="1:1" x14ac:dyDescent="0.3">
      <c r="A11" t="s">
        <v>172</v>
      </c>
    </row>
    <row r="13" spans="1:1" x14ac:dyDescent="0.3">
      <c r="A13" t="s">
        <v>169</v>
      </c>
    </row>
    <row r="14" spans="1:1" x14ac:dyDescent="0.3">
      <c r="A14" t="s">
        <v>173</v>
      </c>
    </row>
    <row r="15" spans="1:1" x14ac:dyDescent="0.3">
      <c r="A15" t="s">
        <v>169</v>
      </c>
    </row>
    <row r="17" spans="1:1" x14ac:dyDescent="0.3">
      <c r="A17" t="s">
        <v>80</v>
      </c>
    </row>
    <row r="18" spans="1:1" x14ac:dyDescent="0.3">
      <c r="A18" t="s">
        <v>174</v>
      </c>
    </row>
    <row r="19" spans="1:1" x14ac:dyDescent="0.3">
      <c r="A19" t="s">
        <v>175</v>
      </c>
    </row>
    <row r="21" spans="1:1" x14ac:dyDescent="0.3">
      <c r="A21" t="s">
        <v>82</v>
      </c>
    </row>
    <row r="22" spans="1:1" x14ac:dyDescent="0.3">
      <c r="A22" t="s">
        <v>176</v>
      </c>
    </row>
    <row r="23" spans="1:1" x14ac:dyDescent="0.3">
      <c r="A23" t="s">
        <v>177</v>
      </c>
    </row>
    <row r="25" spans="1:1" x14ac:dyDescent="0.3">
      <c r="A25" t="s">
        <v>169</v>
      </c>
    </row>
    <row r="26" spans="1:1" x14ac:dyDescent="0.3">
      <c r="A26" t="s">
        <v>178</v>
      </c>
    </row>
    <row r="27" spans="1:1" x14ac:dyDescent="0.3">
      <c r="A27" t="s">
        <v>169</v>
      </c>
    </row>
    <row r="29" spans="1:1" x14ac:dyDescent="0.3">
      <c r="A29" t="s">
        <v>179</v>
      </c>
    </row>
    <row r="30" spans="1:1" x14ac:dyDescent="0.3">
      <c r="A30" t="s">
        <v>180</v>
      </c>
    </row>
    <row r="32" spans="1:1" x14ac:dyDescent="0.3">
      <c r="A32" t="s">
        <v>181</v>
      </c>
    </row>
    <row r="33" spans="1:1" x14ac:dyDescent="0.3">
      <c r="A33" t="s">
        <v>182</v>
      </c>
    </row>
    <row r="34" spans="1:1" x14ac:dyDescent="0.3">
      <c r="A34" t="s">
        <v>183</v>
      </c>
    </row>
    <row r="36" spans="1:1" x14ac:dyDescent="0.3">
      <c r="A36" t="s">
        <v>184</v>
      </c>
    </row>
    <row r="37" spans="1:1" x14ac:dyDescent="0.3">
      <c r="A37" t="s">
        <v>185</v>
      </c>
    </row>
    <row r="39" spans="1:1" x14ac:dyDescent="0.3">
      <c r="A39" t="s">
        <v>186</v>
      </c>
    </row>
    <row r="40" spans="1:1" x14ac:dyDescent="0.3">
      <c r="A40" t="s">
        <v>187</v>
      </c>
    </row>
    <row r="41" spans="1:1" x14ac:dyDescent="0.3">
      <c r="A41" t="s">
        <v>188</v>
      </c>
    </row>
    <row r="42" spans="1:1" x14ac:dyDescent="0.3">
      <c r="A42" t="s">
        <v>189</v>
      </c>
    </row>
    <row r="43" spans="1:1" x14ac:dyDescent="0.3">
      <c r="A43" t="s">
        <v>190</v>
      </c>
    </row>
    <row r="44" spans="1:1" x14ac:dyDescent="0.3">
      <c r="A44" t="s">
        <v>191</v>
      </c>
    </row>
    <row r="46" spans="1:1" x14ac:dyDescent="0.3">
      <c r="A46" t="s">
        <v>169</v>
      </c>
    </row>
    <row r="48" spans="1:1" x14ac:dyDescent="0.3">
      <c r="A48" t="s">
        <v>192</v>
      </c>
    </row>
    <row r="50" spans="1:1" x14ac:dyDescent="0.3">
      <c r="A50" t="s">
        <v>139</v>
      </c>
    </row>
    <row r="51" spans="1:1" x14ac:dyDescent="0.3">
      <c r="A51" t="s">
        <v>193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>
      <selection activeCell="T40" sqref="T40"/>
    </sheetView>
  </sheetViews>
  <sheetFormatPr defaultRowHeight="16.5" x14ac:dyDescent="0.3"/>
  <sheetData>
    <row r="1" spans="1:1" x14ac:dyDescent="0.3">
      <c r="A1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7" spans="1:1" x14ac:dyDescent="0.3">
      <c r="A7" t="s">
        <v>144</v>
      </c>
    </row>
    <row r="9" spans="1:1" x14ac:dyDescent="0.3">
      <c r="A9" t="s">
        <v>138</v>
      </c>
    </row>
    <row r="10" spans="1:1" x14ac:dyDescent="0.3">
      <c r="A10" t="s">
        <v>145</v>
      </c>
    </row>
    <row r="11" spans="1:1" x14ac:dyDescent="0.3">
      <c r="A11" t="s">
        <v>146</v>
      </c>
    </row>
    <row r="13" spans="1:1" x14ac:dyDescent="0.3">
      <c r="A13" t="s">
        <v>147</v>
      </c>
    </row>
    <row r="14" spans="1:1" x14ac:dyDescent="0.3">
      <c r="A14" t="s">
        <v>148</v>
      </c>
    </row>
    <row r="16" spans="1:1" x14ac:dyDescent="0.3">
      <c r="A16" t="s">
        <v>149</v>
      </c>
    </row>
    <row r="17" spans="1:1" x14ac:dyDescent="0.3">
      <c r="A17" t="s">
        <v>150</v>
      </c>
    </row>
    <row r="18" spans="1:1" x14ac:dyDescent="0.3">
      <c r="A18" t="s">
        <v>151</v>
      </c>
    </row>
    <row r="19" spans="1:1" x14ac:dyDescent="0.3">
      <c r="A19" t="s">
        <v>152</v>
      </c>
    </row>
    <row r="20" spans="1:1" x14ac:dyDescent="0.3">
      <c r="A20" t="s">
        <v>153</v>
      </c>
    </row>
    <row r="21" spans="1:1" x14ac:dyDescent="0.3">
      <c r="A21" t="s">
        <v>154</v>
      </c>
    </row>
    <row r="22" spans="1:1" x14ac:dyDescent="0.3">
      <c r="A22" t="s">
        <v>155</v>
      </c>
    </row>
    <row r="24" spans="1:1" x14ac:dyDescent="0.3">
      <c r="A24" t="s">
        <v>156</v>
      </c>
    </row>
    <row r="25" spans="1:1" ht="297" customHeight="1" x14ac:dyDescent="0.3">
      <c r="A25" s="5" t="s">
        <v>157</v>
      </c>
    </row>
    <row r="27" spans="1:1" x14ac:dyDescent="0.3">
      <c r="A27" t="s">
        <v>144</v>
      </c>
    </row>
    <row r="29" spans="1:1" x14ac:dyDescent="0.3">
      <c r="A29" t="s">
        <v>158</v>
      </c>
    </row>
    <row r="30" spans="1:1" x14ac:dyDescent="0.3">
      <c r="A30" t="s">
        <v>159</v>
      </c>
    </row>
    <row r="31" spans="1:1" x14ac:dyDescent="0.3">
      <c r="A31" t="s">
        <v>160</v>
      </c>
    </row>
    <row r="32" spans="1:1" x14ac:dyDescent="0.3">
      <c r="A32" t="s">
        <v>161</v>
      </c>
    </row>
    <row r="33" spans="1:1" x14ac:dyDescent="0.3">
      <c r="A33" t="s">
        <v>162</v>
      </c>
    </row>
    <row r="35" spans="1:1" x14ac:dyDescent="0.3">
      <c r="A35" t="s">
        <v>163</v>
      </c>
    </row>
    <row r="36" spans="1:1" x14ac:dyDescent="0.3">
      <c r="A36" t="s">
        <v>164</v>
      </c>
    </row>
    <row r="38" spans="1:1" x14ac:dyDescent="0.3">
      <c r="A38" t="s">
        <v>165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1</vt:i4>
      </vt:variant>
    </vt:vector>
  </HeadingPairs>
  <TitlesOfParts>
    <vt:vector size="9" baseType="lpstr">
      <vt:lpstr>개인별 시즌 누적기록</vt:lpstr>
      <vt:lpstr>경기 하이라이트 &amp; 특별기록</vt:lpstr>
      <vt:lpstr>경기스코어보드</vt:lpstr>
      <vt:lpstr>팀별 타격기록지_1팀</vt:lpstr>
      <vt:lpstr>팀별 타격기록지_2팀</vt:lpstr>
      <vt:lpstr>경기운영 체크리스트</vt:lpstr>
      <vt:lpstr>sns 공유용 메세지</vt:lpstr>
      <vt:lpstr>게시판용 정기모임결과</vt:lpstr>
      <vt:lpstr>'개인별 시즌 누적기록'!Print_Titles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주호이</dc:creator>
  <cp:lastModifiedBy>주호이</cp:lastModifiedBy>
  <dcterms:created xsi:type="dcterms:W3CDTF">2026-05-17T06:08:38Z</dcterms:created>
  <dcterms:modified xsi:type="dcterms:W3CDTF">2026-09-13T12:39:42Z</dcterms:modified>
</cp:coreProperties>
</file>