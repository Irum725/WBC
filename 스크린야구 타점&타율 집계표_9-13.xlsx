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82jh\Desktop\스크린야구동호회\"/>
    </mc:Choice>
  </mc:AlternateContent>
  <bookViews>
    <workbookView xWindow="0" yWindow="0" windowWidth="28800" windowHeight="12270" activeTab="3"/>
  </bookViews>
  <sheets>
    <sheet name="경기 하이라이트 &amp; 특별기록" sheetId="3" r:id="rId1"/>
    <sheet name="경기스코어보드" sheetId="1" r:id="rId2"/>
    <sheet name="팀별 타격기록지_1팀" sheetId="2" r:id="rId3"/>
    <sheet name="팀별 타격기록지_2팀" sheetId="8" r:id="rId4"/>
    <sheet name="개인별 시즌 누적 기록(예)" sheetId="4" r:id="rId5"/>
    <sheet name="경기운영 체크리스트" sheetId="5" r:id="rId6"/>
    <sheet name="sns 공유용 메세지" sheetId="6" r:id="rId7"/>
    <sheet name="게시판용 정기모임결과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4" l="1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O7" i="4"/>
  <c r="O6" i="4"/>
  <c r="N7" i="4"/>
  <c r="N6" i="4"/>
</calcChain>
</file>

<file path=xl/sharedStrings.xml><?xml version="1.0" encoding="utf-8"?>
<sst xmlns="http://schemas.openxmlformats.org/spreadsheetml/2006/main" count="304" uniqueCount="192">
  <si>
    <t>항목</t>
  </si>
  <si>
    <t>내용</t>
  </si>
  <si>
    <t>일 자</t>
  </si>
  <si>
    <t>장 소</t>
  </si>
  <si>
    <t>기록자</t>
  </si>
  <si>
    <t>참석 인원</t>
  </si>
  <si>
    <t>경기 시간</t>
  </si>
  <si>
    <t>팀명</t>
  </si>
  <si>
    <t>최종</t>
  </si>
  <si>
    <t>⚡ World Team</t>
  </si>
  <si>
    <t>🔥 Believers Team</t>
  </si>
  <si>
    <t>_________점</t>
    <phoneticPr fontId="4" type="noConversion"/>
  </si>
  <si>
    <t>타순</t>
  </si>
  <si>
    <t>선수명</t>
  </si>
  <si>
    <t>타점</t>
  </si>
  <si>
    <t>K</t>
  </si>
  <si>
    <t>O</t>
  </si>
  <si>
    <t>DP</t>
  </si>
  <si>
    <t>팀계</t>
  </si>
  <si>
    <t>현장에서 빠르게 기록할 수 있도록 직관적인 기호를 사용합니다.</t>
  </si>
  <si>
    <t>기호</t>
  </si>
  <si>
    <t>의미</t>
  </si>
  <si>
    <t>①</t>
  </si>
  <si>
    <t>1루타</t>
  </si>
  <si>
    <t>삼진</t>
  </si>
  <si>
    <t>②</t>
  </si>
  <si>
    <t>2루타</t>
  </si>
  <si>
    <t>일반 아웃</t>
  </si>
  <si>
    <t>③</t>
  </si>
  <si>
    <t>3루타</t>
  </si>
  <si>
    <t>병살타</t>
  </si>
  <si>
    <t>홈런</t>
  </si>
  <si>
    <t>-</t>
  </si>
  <si>
    <t>해당 이닝 미타석</t>
  </si>
  <si>
    <r>
      <t>타점 표기:</t>
    </r>
    <r>
      <rPr>
        <sz val="12"/>
        <color rgb="FF232425"/>
        <rFont val="Noto Sans KR"/>
        <family val="3"/>
        <charset val="129"/>
      </rPr>
      <t> 기호 옆에 괄호로 표시 (예: ② (2) = 2루타로 2타점)</t>
    </r>
  </si>
  <si>
    <t>(                          )Team 이닝별 타격 기록</t>
    <phoneticPr fontId="4" type="noConversion"/>
  </si>
  <si>
    <t>타수</t>
    <phoneticPr fontId="4" type="noConversion"/>
  </si>
  <si>
    <t>총 타수</t>
    <phoneticPr fontId="4" type="noConversion"/>
  </si>
  <si>
    <t>①루타</t>
    <phoneticPr fontId="4" type="noConversion"/>
  </si>
  <si>
    <t>②루타</t>
    <phoneticPr fontId="4" type="noConversion"/>
  </si>
  <si>
    <t>③루타</t>
    <phoneticPr fontId="4" type="noConversion"/>
  </si>
  <si>
    <t>타점
집계</t>
    <phoneticPr fontId="4" type="noConversion"/>
  </si>
  <si>
    <t>아웃집계</t>
    <phoneticPr fontId="4" type="noConversion"/>
  </si>
  <si>
    <t>타석집계</t>
    <phoneticPr fontId="4" type="noConversion"/>
  </si>
  <si>
    <t>★</t>
    <phoneticPr fontId="4" type="noConversion"/>
  </si>
  <si>
    <t>★홈런</t>
    <phoneticPr fontId="4" type="noConversion"/>
  </si>
  <si>
    <t>타율
계산</t>
    <phoneticPr fontId="4" type="noConversion"/>
  </si>
  <si>
    <t>🏆 경기 하이라이트 &amp; 특별 기록</t>
  </si>
  <si>
    <t>부문</t>
  </si>
  <si>
    <t>수상자/기록</t>
  </si>
  <si>
    <t>세부 내용</t>
  </si>
  <si>
    <t>⭐ 오늘의 MVP</t>
  </si>
  <si>
    <t>💣 오늘의 홈런</t>
  </si>
  <si>
    <t>___회 ___점 홈런</t>
  </si>
  <si>
    <t>🎯 오늘의 클러치</t>
  </si>
  <si>
    <t>중요한 순간 적시타</t>
  </si>
  <si>
    <t>💪 오늘의 노력상</t>
  </si>
  <si>
    <t>끝까지 포기하지 않는 정신력</t>
  </si>
  <si>
    <t>😄 오늘의 명장면</t>
  </si>
  <si>
    <t>특이사항 메모:</t>
  </si>
  <si>
    <t>타율 .___ 
(___타수 ___안타)</t>
    <phoneticPr fontId="4" type="noConversion"/>
  </si>
  <si>
    <t>개인별 시즌 누적 기록</t>
  </si>
  <si>
    <t>이름</t>
  </si>
  <si>
    <t>팀</t>
  </si>
  <si>
    <t>총타수</t>
  </si>
  <si>
    <t>총안타</t>
  </si>
  <si>
    <t>아웃</t>
  </si>
  <si>
    <t>병살</t>
  </si>
  <si>
    <t>타율</t>
  </si>
  <si>
    <t>장타율</t>
  </si>
  <si>
    <t>World</t>
  </si>
  <si>
    <t>Believers</t>
  </si>
  <si>
    <r>
      <t>타율:</t>
    </r>
    <r>
      <rPr>
        <sz val="12"/>
        <color rgb="FF232425"/>
        <rFont val="Noto Sans KR"/>
        <family val="3"/>
        <charset val="129"/>
      </rPr>
      <t> </t>
    </r>
    <r>
      <rPr>
        <sz val="10"/>
        <color rgb="FF232425"/>
        <rFont val="Noto Sans KR"/>
        <family val="3"/>
        <charset val="129"/>
      </rPr>
      <t>=총안타/총타수</t>
    </r>
  </si>
  <si>
    <r>
      <t>장타율:</t>
    </r>
    <r>
      <rPr>
        <sz val="12"/>
        <color rgb="FF232425"/>
        <rFont val="Noto Sans KR"/>
        <family val="3"/>
        <charset val="129"/>
      </rPr>
      <t> </t>
    </r>
    <r>
      <rPr>
        <sz val="10"/>
        <color rgb="FF232425"/>
        <rFont val="Noto Sans KR"/>
        <family val="3"/>
        <charset val="129"/>
      </rPr>
      <t>=(1루타×1+2루타×2+3루타×3+홈런×4)/총타수</t>
    </r>
  </si>
  <si>
    <t>최근참석</t>
    <phoneticPr fontId="4" type="noConversion"/>
  </si>
  <si>
    <t>나. 연말 시상 계산 공식</t>
  </si>
  <si>
    <t>🎯 각종 왕 선정 기준</t>
  </si>
  <si>
    <t>★ 시즌 MVP 종합 점수</t>
    <phoneticPr fontId="4" type="noConversion"/>
  </si>
  <si>
    <t xml:space="preserve">     MVP 점수=(타율×30)+(홈런수×5)+(타점×0.3)+(참석률×25)</t>
    <phoneticPr fontId="4" type="noConversion"/>
  </si>
  <si>
    <r>
      <t xml:space="preserve">   타율왕:</t>
    </r>
    <r>
      <rPr>
        <sz val="12"/>
        <color rgb="FF232425"/>
        <rFont val="Noto Sans KR"/>
        <family val="3"/>
        <charset val="129"/>
      </rPr>
      <t> 최소 30타수 이상 중 최고 타율</t>
    </r>
    <phoneticPr fontId="4" type="noConversion"/>
  </si>
  <si>
    <r>
      <t xml:space="preserve">   홈런왕:</t>
    </r>
    <r>
      <rPr>
        <sz val="12"/>
        <color rgb="FF232425"/>
        <rFont val="Noto Sans KR"/>
        <family val="3"/>
        <charset val="129"/>
      </rPr>
      <t> 시즌 총 홈런 수 1위</t>
    </r>
    <phoneticPr fontId="4" type="noConversion"/>
  </si>
  <si>
    <r>
      <t xml:space="preserve">   타점왕:</t>
    </r>
    <r>
      <rPr>
        <sz val="12"/>
        <color rgb="FF232425"/>
        <rFont val="Noto Sans KR"/>
        <family val="3"/>
        <charset val="129"/>
      </rPr>
      <t> 시즌 총 타점 1위</t>
    </r>
    <phoneticPr fontId="4" type="noConversion"/>
  </si>
  <si>
    <r>
      <t xml:space="preserve">   노력상:</t>
    </r>
    <r>
      <rPr>
        <sz val="12"/>
        <color rgb="FF232425"/>
        <rFont val="Noto Sans KR"/>
        <family val="3"/>
        <charset val="129"/>
      </rPr>
      <t> 참석률 + 타율 개선도 + 동료 평가</t>
    </r>
    <phoneticPr fontId="4" type="noConversion"/>
  </si>
  <si>
    <t>📝 기록 담당자 체크리스트</t>
  </si>
  <si>
    <t>시간</t>
  </si>
  <si>
    <t>할 일</t>
  </si>
  <si>
    <t>체크</t>
  </si>
  <si>
    <t>모임 시작 전</t>
  </si>
  <si>
    <t>기록지 2장 출력 확인 (팀별 1장씩)</t>
  </si>
  <si>
    <t>□</t>
  </si>
  <si>
    <t>경기 중</t>
  </si>
  <si>
    <t>이닝별 타격 결과 즉시 기입</t>
  </si>
  <si>
    <t>각 이닝 종료 후</t>
  </si>
  <si>
    <t>득점 현황 스코어보드 업데이트</t>
  </si>
  <si>
    <t>경기 종료 직후</t>
  </si>
  <si>
    <t>스크린 최종 기록 화면 사진 촬영</t>
  </si>
  <si>
    <t>식사 시간</t>
  </si>
  <si>
    <t>집계표 완성 및 하이라이트 선정</t>
  </si>
  <si>
    <t>귀가 후</t>
  </si>
  <si>
    <t>구글 스프레드시트 누적 기록 입력</t>
  </si>
  <si>
    <t>다음날</t>
  </si>
  <si>
    <t>교회 홍보 자료 작성 및 제출</t>
  </si>
  <si>
    <t>🎯 기록 요령</t>
  </si>
  <si>
    <t>경기 중 (빠른 기록):</t>
  </si>
  <si>
    <t>이닝별 칸에 기호만 빠르게 기입</t>
  </si>
  <si>
    <t>특별한 순간은 '특이사항' 란에 간단히 메모</t>
  </si>
  <si>
    <t>경기 후 (정리 시간):</t>
  </si>
  <si>
    <t>오른쪽 집계 칸 완성</t>
  </si>
  <si>
    <t>타율 계산: 안타수 ÷ 타수</t>
  </si>
  <si>
    <t>하이라이트 선정 및 기록</t>
  </si>
  <si>
    <t>ㅇ 경기 당일 운영 가이드</t>
    <phoneticPr fontId="4" type="noConversion"/>
  </si>
  <si>
    <t>⚾ W.B.C 이번 달 경기 결과! ⚾</t>
  </si>
  <si>
    <t>🏆 세계로교회 World Believers Club</t>
  </si>
  <si>
    <t>📅 ____년 ____월 ____일</t>
  </si>
  <si>
    <t>【 경기 결과 】</t>
  </si>
  <si>
    <t>⚡ World Team      ___점</t>
  </si>
  <si>
    <t>🔥 Believers Team  ___점</t>
  </si>
  <si>
    <t>→ 승부욕 넘치는 명경기였습니다! 🔥</t>
  </si>
  <si>
    <t>【 이달의 스타들 】</t>
  </si>
  <si>
    <t xml:space="preserve">⭐ MVP: ___________ </t>
  </si>
  <si>
    <t>💣 홈런: ___________ (짜릿한 ___점 홈런!)</t>
  </si>
  <si>
    <t>🎯 클러치: ___________ (결정적 순간 적시타!)</t>
  </si>
  <si>
    <t>💪 노력: ___________ (끝까지 포기하지 않는 정신력!)</t>
  </si>
  <si>
    <t>믿음으로 스윙하라, 세계로 나아가라! 🙏⚾</t>
  </si>
  <si>
    <t>#세계로교회 #WBC #WorldBelieversClub</t>
  </si>
  <si>
    <t>#스크린야구 #남전도회 #젊은아빠</t>
  </si>
  <si>
    <t>🏆 세계로교회 W.B.C 스크린야구 동호회 ___월 정기 모임 결과</t>
  </si>
  <si>
    <t>📅 일시: ___월 ___일 (주일) 오후 4~8시</t>
  </si>
  <si>
    <t>📍 장소: _________ 스크린야구장</t>
  </si>
  <si>
    <t>👥 참석: ___명 (World Team ___명, Believers Team ___명)</t>
  </si>
  <si>
    <t>━━━━━━━━━━━━━━━━━━━━━━━━━━━━━━━━━━━━━━━━━━</t>
  </si>
  <si>
    <t>⚡ World Team   ___점</t>
  </si>
  <si>
    <t>🔥 Believers Team ___점</t>
  </si>
  <si>
    <t xml:space="preserve">___회 말, ○○○ 형제님의 짜릿한 역전 홈런으로 </t>
  </si>
  <si>
    <t>World Team이 극적인 승리를 거두었습니다! 🎉</t>
  </si>
  <si>
    <t>【 개인 기록 하이라이트 】</t>
  </si>
  <si>
    <t xml:space="preserve">⭐ 이달의 MVP: ○○○ 형제 </t>
  </si>
  <si>
    <t xml:space="preserve">   (___타수 ___안타 ___홈런 ___타점, 타율 .___)</t>
  </si>
  <si>
    <t>💣 이달의 홈런왕: ○○○ 형제 (___개)</t>
  </si>
  <si>
    <t>🎯 이달의 클러치 히터: ○○○ 형제 (결정적 순간 적시타)</t>
  </si>
  <si>
    <t xml:space="preserve">💪 이달의 노력상: ○○○ 형제 </t>
  </si>
  <si>
    <t xml:space="preserve">   (끝까지 포기하지 않는 멋진 정신력을 보여주셨습니다!)</t>
  </si>
  <si>
    <t>【 따뜻한 한 마디 】</t>
  </si>
  <si>
    <t>오늘도 함께 땀 흘리며 교제할 수 있어 감사했습니다. _x000D_
스크린야구를 통해 서로 더 가까워지고, 믿음 안에서 _x000D_
건강한 경쟁과 격려를 나누는 시간이었습니다. - 회장</t>
  </si>
  <si>
    <t>【 W.B.C 가입 안내 】</t>
  </si>
  <si>
    <t>🎯 대상: 남전도회 회원 (젊은 아빠 세대 환영!)</t>
  </si>
  <si>
    <t>💰 회비: 연 50,000원 + 참석 시 10,000원</t>
  </si>
  <si>
    <t>⏰ 모임: 매월 셋째 주 주일 오후 4시</t>
  </si>
  <si>
    <t>📞 문의: 총무 ○○○ 집사 (010-XXXX-XXXX)</t>
  </si>
  <si>
    <t xml:space="preserve">야구 실력은 전혀 중요하지 않습니다! </t>
  </si>
  <si>
    <t>함께 땀 흘리고 교제하며 믿음의 동역자가 되어보세요! 🙏</t>
  </si>
  <si>
    <t>다음 모임: ___월 ___일 (주일) 오후 4시</t>
  </si>
  <si>
    <t>ㅇ 경기 기록</t>
    <phoneticPr fontId="4" type="noConversion"/>
  </si>
  <si>
    <t>12명 / 16명</t>
    <phoneticPr fontId="4" type="noConversion"/>
  </si>
  <si>
    <t>2026년 ____9월 ____13일 (주일)</t>
    <phoneticPr fontId="4" type="noConversion"/>
  </si>
  <si>
    <t>_________________ 스크린야구장</t>
    <phoneticPr fontId="4" type="noConversion"/>
  </si>
  <si>
    <t>이주호</t>
    <phoneticPr fontId="4" type="noConversion"/>
  </si>
  <si>
    <r>
      <t xml:space="preserve">     17:00</t>
    </r>
    <r>
      <rPr>
        <sz val="12"/>
        <color rgb="FF232425"/>
        <rFont val="Noto Sans KR"/>
        <family val="3"/>
        <charset val="129"/>
      </rPr>
      <t xml:space="preserve">       ~         19:00</t>
    </r>
    <phoneticPr fontId="4" type="noConversion"/>
  </si>
  <si>
    <t>김진혁</t>
    <phoneticPr fontId="4" type="noConversion"/>
  </si>
  <si>
    <t>김응관</t>
    <phoneticPr fontId="4" type="noConversion"/>
  </si>
  <si>
    <t>이주호</t>
    <phoneticPr fontId="4" type="noConversion"/>
  </si>
  <si>
    <t>배석원</t>
    <phoneticPr fontId="4" type="noConversion"/>
  </si>
  <si>
    <t>황주현</t>
    <phoneticPr fontId="4" type="noConversion"/>
  </si>
  <si>
    <t>이성수</t>
    <phoneticPr fontId="4" type="noConversion"/>
  </si>
  <si>
    <t>O</t>
    <phoneticPr fontId="4" type="noConversion"/>
  </si>
  <si>
    <t>K</t>
    <phoneticPr fontId="4" type="noConversion"/>
  </si>
  <si>
    <t>O</t>
    <phoneticPr fontId="4" type="noConversion"/>
  </si>
  <si>
    <t>K</t>
    <phoneticPr fontId="4" type="noConversion"/>
  </si>
  <si>
    <t>O</t>
    <phoneticPr fontId="4" type="noConversion"/>
  </si>
  <si>
    <t>K</t>
    <phoneticPr fontId="4" type="noConversion"/>
  </si>
  <si>
    <t>O</t>
    <phoneticPr fontId="4" type="noConversion"/>
  </si>
  <si>
    <t>O</t>
    <phoneticPr fontId="4" type="noConversion"/>
  </si>
  <si>
    <t>O</t>
    <phoneticPr fontId="4" type="noConversion"/>
  </si>
  <si>
    <t>O</t>
    <phoneticPr fontId="4" type="noConversion"/>
  </si>
  <si>
    <t>DP</t>
    <phoneticPr fontId="4" type="noConversion"/>
  </si>
  <si>
    <t>김신광</t>
    <phoneticPr fontId="4" type="noConversion"/>
  </si>
  <si>
    <t>김석희</t>
    <phoneticPr fontId="4" type="noConversion"/>
  </si>
  <si>
    <t>박동진</t>
    <phoneticPr fontId="4" type="noConversion"/>
  </si>
  <si>
    <t>임명길</t>
    <phoneticPr fontId="4" type="noConversion"/>
  </si>
  <si>
    <t>정재홍</t>
    <phoneticPr fontId="4" type="noConversion"/>
  </si>
  <si>
    <t>이승원</t>
    <phoneticPr fontId="4" type="noConversion"/>
  </si>
  <si>
    <t>서관승</t>
    <phoneticPr fontId="4" type="noConversion"/>
  </si>
  <si>
    <t>이종욱</t>
    <phoneticPr fontId="4" type="noConversion"/>
  </si>
  <si>
    <t>K</t>
    <phoneticPr fontId="4" type="noConversion"/>
  </si>
  <si>
    <t>O</t>
    <phoneticPr fontId="4" type="noConversion"/>
  </si>
  <si>
    <t>K</t>
    <phoneticPr fontId="4" type="noConversion"/>
  </si>
  <si>
    <t>K</t>
    <phoneticPr fontId="4" type="noConversion"/>
  </si>
  <si>
    <t>O</t>
    <phoneticPr fontId="4" type="noConversion"/>
  </si>
  <si>
    <t>★</t>
    <phoneticPr fontId="4" type="noConversion"/>
  </si>
  <si>
    <t>O</t>
    <phoneticPr fontId="4" type="noConversion"/>
  </si>
  <si>
    <t>K</t>
    <phoneticPr fontId="4" type="noConversion"/>
  </si>
  <si>
    <t>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</si>
</sst>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0.000"/>
  </numFmts>
  <fonts count="16" x14ac:knownFonts="1">
    <font>
      <sz val="11"/>
      <color theme="1"/>
      <name val="맑은 고딕"/>
      <family val="2"/>
      <charset val="129"/>
      <scheme val="minor"/>
    </font>
    <font>
      <b/>
      <sz val="14"/>
      <color rgb="FF232425"/>
      <name val="Noto Sans KR"/>
      <family val="3"/>
      <charset val="129"/>
    </font>
    <font>
      <sz val="12"/>
      <color rgb="FF232425"/>
      <name val="Noto Sans KR"/>
      <family val="3"/>
      <charset val="129"/>
    </font>
    <font>
      <b/>
      <sz val="12"/>
      <color rgb="FF232425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14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b/>
      <sz val="16"/>
      <color rgb="FF232425"/>
      <name val="Noto Sans KR"/>
      <family val="3"/>
      <charset val="129"/>
    </font>
    <font>
      <b/>
      <sz val="18"/>
      <color rgb="FF232425"/>
      <name val="Noto Sans KR"/>
      <family val="3"/>
      <charset val="129"/>
    </font>
    <font>
      <b/>
      <sz val="22"/>
      <color rgb="FF232425"/>
      <name val="Noto Sans KR"/>
      <family val="3"/>
      <charset val="129"/>
    </font>
    <font>
      <sz val="2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Noto Sans KR"/>
      <family val="3"/>
      <charset val="129"/>
    </font>
    <font>
      <sz val="10"/>
      <color rgb="FF232425"/>
      <name val="Noto Sans KR"/>
      <family val="3"/>
      <charset val="129"/>
    </font>
    <font>
      <sz val="13.3"/>
      <color theme="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11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176" fontId="6" fillId="0" borderId="1" xfId="0" applyNumberFormat="1" applyFont="1" applyBorder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177" fontId="6" fillId="0" borderId="1" xfId="0" applyNumberFormat="1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6" sqref="F6"/>
    </sheetView>
  </sheetViews>
  <sheetFormatPr defaultRowHeight="16.5" x14ac:dyDescent="0.3"/>
  <cols>
    <col min="1" max="2" width="22.75" customWidth="1"/>
    <col min="3" max="3" width="28.75" customWidth="1"/>
    <col min="4" max="4" width="9.125" customWidth="1"/>
  </cols>
  <sheetData>
    <row r="1" spans="1:3" ht="42.75" customHeight="1" x14ac:dyDescent="0.3">
      <c r="A1" s="36" t="s">
        <v>47</v>
      </c>
      <c r="B1" s="36"/>
      <c r="C1" s="36"/>
    </row>
    <row r="2" spans="1:3" ht="36" customHeight="1" x14ac:dyDescent="0.3">
      <c r="A2" s="13" t="s">
        <v>48</v>
      </c>
      <c r="B2" s="13" t="s">
        <v>49</v>
      </c>
      <c r="C2" s="13" t="s">
        <v>50</v>
      </c>
    </row>
    <row r="3" spans="1:3" ht="45" customHeight="1" x14ac:dyDescent="0.3">
      <c r="A3" s="17" t="s">
        <v>51</v>
      </c>
      <c r="B3" s="11"/>
      <c r="C3" s="11" t="s">
        <v>60</v>
      </c>
    </row>
    <row r="4" spans="1:3" ht="45" customHeight="1" x14ac:dyDescent="0.3">
      <c r="A4" s="17" t="s">
        <v>52</v>
      </c>
      <c r="B4" s="11"/>
      <c r="C4" s="11" t="s">
        <v>53</v>
      </c>
    </row>
    <row r="5" spans="1:3" ht="45" customHeight="1" x14ac:dyDescent="0.3">
      <c r="A5" s="17" t="s">
        <v>54</v>
      </c>
      <c r="B5" s="11"/>
      <c r="C5" s="11" t="s">
        <v>55</v>
      </c>
    </row>
    <row r="6" spans="1:3" ht="45" customHeight="1" x14ac:dyDescent="0.3">
      <c r="A6" s="17" t="s">
        <v>56</v>
      </c>
      <c r="B6" s="11"/>
      <c r="C6" s="11" t="s">
        <v>57</v>
      </c>
    </row>
    <row r="7" spans="1:3" ht="45" customHeight="1" x14ac:dyDescent="0.3">
      <c r="A7" s="17" t="s">
        <v>58</v>
      </c>
      <c r="B7" s="11"/>
      <c r="C7" s="11"/>
    </row>
    <row r="8" spans="1:3" ht="21" x14ac:dyDescent="0.3">
      <c r="A8" s="8" t="s">
        <v>59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K5" sqref="K5"/>
    </sheetView>
  </sheetViews>
  <sheetFormatPr defaultRowHeight="16.5" x14ac:dyDescent="0.3"/>
  <cols>
    <col min="1" max="1" width="17.5" style="1" customWidth="1"/>
    <col min="2" max="10" width="9.5" customWidth="1"/>
    <col min="11" max="11" width="15.75" style="1" customWidth="1"/>
  </cols>
  <sheetData>
    <row r="1" spans="1:11" ht="23.25" x14ac:dyDescent="0.3">
      <c r="A1" s="2" t="s">
        <v>0</v>
      </c>
      <c r="B1" s="21" t="s">
        <v>1</v>
      </c>
      <c r="C1" s="21"/>
      <c r="D1" s="21"/>
      <c r="E1" s="21"/>
      <c r="F1" s="21"/>
      <c r="G1" s="21"/>
      <c r="H1" s="21"/>
    </row>
    <row r="2" spans="1:11" ht="35.25" customHeight="1" x14ac:dyDescent="0.3">
      <c r="A2" s="3" t="s">
        <v>2</v>
      </c>
      <c r="B2" s="22" t="s">
        <v>154</v>
      </c>
      <c r="C2" s="22"/>
      <c r="D2" s="22"/>
      <c r="E2" s="22"/>
      <c r="F2" s="22"/>
      <c r="G2" s="22"/>
      <c r="H2" s="22"/>
    </row>
    <row r="3" spans="1:11" ht="35.25" customHeight="1" x14ac:dyDescent="0.3">
      <c r="A3" s="3" t="s">
        <v>3</v>
      </c>
      <c r="B3" s="22" t="s">
        <v>155</v>
      </c>
      <c r="C3" s="22"/>
      <c r="D3" s="22"/>
      <c r="E3" s="22"/>
      <c r="F3" s="22"/>
      <c r="G3" s="22"/>
      <c r="H3" s="22"/>
    </row>
    <row r="4" spans="1:11" ht="35.25" customHeight="1" x14ac:dyDescent="0.3">
      <c r="A4" s="3" t="s">
        <v>4</v>
      </c>
      <c r="B4" s="22" t="s">
        <v>156</v>
      </c>
      <c r="C4" s="22"/>
      <c r="D4" s="22"/>
      <c r="E4" s="22"/>
      <c r="F4" s="22"/>
      <c r="G4" s="22"/>
      <c r="H4" s="22"/>
    </row>
    <row r="5" spans="1:11" ht="35.25" customHeight="1" x14ac:dyDescent="0.3">
      <c r="A5" s="3" t="s">
        <v>5</v>
      </c>
      <c r="B5" s="22" t="s">
        <v>153</v>
      </c>
      <c r="C5" s="22"/>
      <c r="D5" s="22"/>
      <c r="E5" s="22"/>
      <c r="F5" s="22"/>
      <c r="G5" s="22"/>
      <c r="H5" s="22"/>
    </row>
    <row r="6" spans="1:11" ht="35.25" customHeight="1" x14ac:dyDescent="0.3">
      <c r="A6" s="3" t="s">
        <v>6</v>
      </c>
      <c r="B6" s="23" t="s">
        <v>157</v>
      </c>
      <c r="C6" s="23"/>
      <c r="D6" s="23"/>
      <c r="E6" s="23"/>
      <c r="F6" s="23"/>
      <c r="G6" s="23"/>
      <c r="H6" s="23"/>
    </row>
    <row r="11" spans="1:11" ht="23.25" x14ac:dyDescent="0.3">
      <c r="A11" s="2" t="s">
        <v>7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 t="s">
        <v>8</v>
      </c>
    </row>
    <row r="12" spans="1:11" ht="73.5" customHeight="1" x14ac:dyDescent="0.3">
      <c r="A12" s="4" t="s">
        <v>9</v>
      </c>
      <c r="B12" s="5"/>
      <c r="C12" s="5"/>
      <c r="D12" s="5"/>
      <c r="E12" s="5"/>
      <c r="F12" s="5"/>
      <c r="G12" s="5">
        <v>2</v>
      </c>
      <c r="H12" s="5">
        <v>3</v>
      </c>
      <c r="I12" s="5">
        <v>5</v>
      </c>
      <c r="J12" s="5"/>
      <c r="K12" s="6" t="s">
        <v>11</v>
      </c>
    </row>
    <row r="13" spans="1:11" ht="73.5" customHeight="1" x14ac:dyDescent="0.3">
      <c r="A13" s="4" t="s">
        <v>10</v>
      </c>
      <c r="B13" s="5"/>
      <c r="C13" s="5"/>
      <c r="D13" s="5"/>
      <c r="E13" s="5"/>
      <c r="F13" s="5"/>
      <c r="G13" s="5">
        <v>1</v>
      </c>
      <c r="H13" s="5"/>
      <c r="I13" s="5"/>
      <c r="J13" s="5"/>
      <c r="K13" s="6" t="s">
        <v>11</v>
      </c>
    </row>
  </sheetData>
  <mergeCells count="6">
    <mergeCell ref="B6:H6"/>
    <mergeCell ref="B1:H1"/>
    <mergeCell ref="B2:H2"/>
    <mergeCell ref="B3:H3"/>
    <mergeCell ref="B4:H4"/>
    <mergeCell ref="B5:H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4"/>
  <sheetViews>
    <sheetView topLeftCell="A4" workbookViewId="0">
      <selection activeCell="P20" sqref="P20"/>
    </sheetView>
  </sheetViews>
  <sheetFormatPr defaultRowHeight="16.5" x14ac:dyDescent="0.3"/>
  <cols>
    <col min="2" max="2" width="14.625" customWidth="1"/>
    <col min="25" max="25" width="12.875" customWidth="1"/>
  </cols>
  <sheetData>
    <row r="2" spans="1:25" ht="32.25" customHeight="1" x14ac:dyDescent="0.3">
      <c r="A2" s="32" t="s">
        <v>152</v>
      </c>
      <c r="B2" s="32"/>
      <c r="C2" s="32"/>
      <c r="D2" s="32"/>
      <c r="E2" s="32"/>
      <c r="F2" s="32"/>
      <c r="G2" s="32"/>
    </row>
    <row r="3" spans="1:25" ht="24" customHeight="1" x14ac:dyDescent="0.3">
      <c r="A3" s="33" t="s">
        <v>19</v>
      </c>
      <c r="B3" s="33"/>
      <c r="C3" s="33"/>
      <c r="D3" s="33"/>
      <c r="E3" s="33"/>
      <c r="F3" s="33"/>
    </row>
    <row r="4" spans="1:25" ht="23.25" x14ac:dyDescent="0.3">
      <c r="A4" s="9" t="s">
        <v>20</v>
      </c>
      <c r="B4" s="9" t="s">
        <v>21</v>
      </c>
      <c r="C4" s="9" t="s">
        <v>20</v>
      </c>
      <c r="D4" s="34" t="s">
        <v>21</v>
      </c>
      <c r="E4" s="34"/>
    </row>
    <row r="5" spans="1:25" ht="18" x14ac:dyDescent="0.3">
      <c r="A5" s="10" t="s">
        <v>22</v>
      </c>
      <c r="B5" s="11" t="s">
        <v>23</v>
      </c>
      <c r="C5" s="10" t="s">
        <v>15</v>
      </c>
      <c r="D5" s="35" t="s">
        <v>24</v>
      </c>
      <c r="E5" s="35"/>
    </row>
    <row r="6" spans="1:25" ht="18" x14ac:dyDescent="0.3">
      <c r="A6" s="10" t="s">
        <v>25</v>
      </c>
      <c r="B6" s="11" t="s">
        <v>26</v>
      </c>
      <c r="C6" s="10" t="s">
        <v>16</v>
      </c>
      <c r="D6" s="35" t="s">
        <v>27</v>
      </c>
      <c r="E6" s="35"/>
    </row>
    <row r="7" spans="1:25" ht="18" x14ac:dyDescent="0.3">
      <c r="A7" s="10" t="s">
        <v>28</v>
      </c>
      <c r="B7" s="11" t="s">
        <v>29</v>
      </c>
      <c r="C7" s="10" t="s">
        <v>17</v>
      </c>
      <c r="D7" s="35" t="s">
        <v>30</v>
      </c>
      <c r="E7" s="35"/>
    </row>
    <row r="8" spans="1:25" ht="18" customHeight="1" x14ac:dyDescent="0.3">
      <c r="A8" s="10" t="s">
        <v>44</v>
      </c>
      <c r="B8" s="11" t="s">
        <v>31</v>
      </c>
      <c r="C8" s="10" t="s">
        <v>32</v>
      </c>
      <c r="D8" s="35" t="s">
        <v>33</v>
      </c>
      <c r="E8" s="35"/>
    </row>
    <row r="9" spans="1:25" ht="21" customHeight="1" x14ac:dyDescent="0.3">
      <c r="A9" s="26" t="s">
        <v>34</v>
      </c>
      <c r="B9" s="26"/>
      <c r="C9" s="26"/>
      <c r="D9" s="26"/>
      <c r="E9" s="26"/>
      <c r="F9" s="26"/>
      <c r="G9" s="26"/>
      <c r="H9" s="26"/>
      <c r="I9" s="26"/>
    </row>
    <row r="11" spans="1:25" s="12" customFormat="1" ht="36" x14ac:dyDescent="0.3">
      <c r="A11" s="31" t="s">
        <v>35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5" s="1" customFormat="1" ht="27" customHeight="1" x14ac:dyDescent="0.3">
      <c r="A12" s="27" t="s">
        <v>12</v>
      </c>
      <c r="B12" s="27"/>
      <c r="C12" s="27" t="s">
        <v>36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 t="s">
        <v>37</v>
      </c>
      <c r="Q12" s="28" t="s">
        <v>43</v>
      </c>
      <c r="R12" s="29"/>
      <c r="S12" s="29"/>
      <c r="T12" s="30"/>
      <c r="U12" s="27" t="s">
        <v>41</v>
      </c>
      <c r="V12" s="27" t="s">
        <v>42</v>
      </c>
      <c r="W12" s="27"/>
      <c r="X12" s="27"/>
      <c r="Y12" s="24" t="s">
        <v>46</v>
      </c>
    </row>
    <row r="13" spans="1:25" s="1" customFormat="1" ht="23.25" x14ac:dyDescent="0.3">
      <c r="A13" s="15" t="s">
        <v>12</v>
      </c>
      <c r="B13" s="15" t="s">
        <v>13</v>
      </c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  <c r="M13" s="15">
        <v>11</v>
      </c>
      <c r="N13" s="15">
        <v>12</v>
      </c>
      <c r="O13" s="15">
        <v>13</v>
      </c>
      <c r="P13" s="27"/>
      <c r="Q13" s="15" t="s">
        <v>38</v>
      </c>
      <c r="R13" s="15" t="s">
        <v>39</v>
      </c>
      <c r="S13" s="15" t="s">
        <v>40</v>
      </c>
      <c r="T13" s="15" t="s">
        <v>45</v>
      </c>
      <c r="U13" s="27"/>
      <c r="V13" s="15" t="s">
        <v>15</v>
      </c>
      <c r="W13" s="15" t="s">
        <v>16</v>
      </c>
      <c r="X13" s="15" t="s">
        <v>17</v>
      </c>
      <c r="Y13" s="25"/>
    </row>
    <row r="14" spans="1:25" ht="30.75" customHeight="1" x14ac:dyDescent="0.3">
      <c r="A14" s="16">
        <v>1</v>
      </c>
      <c r="B14" s="11" t="s">
        <v>158</v>
      </c>
      <c r="C14" s="11" t="s">
        <v>164</v>
      </c>
      <c r="D14" s="11" t="s">
        <v>164</v>
      </c>
      <c r="E14" s="11">
        <v>1</v>
      </c>
      <c r="F14" s="11" t="s">
        <v>171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4</v>
      </c>
      <c r="Q14" s="11">
        <v>1</v>
      </c>
      <c r="R14" s="11"/>
      <c r="S14" s="11"/>
      <c r="T14" s="11"/>
      <c r="U14" s="11"/>
      <c r="V14" s="11"/>
      <c r="W14" s="11">
        <v>3</v>
      </c>
      <c r="X14" s="11"/>
      <c r="Y14" s="14"/>
    </row>
    <row r="15" spans="1:25" ht="30.75" customHeight="1" x14ac:dyDescent="0.3">
      <c r="A15" s="16">
        <v>2</v>
      </c>
      <c r="B15" s="11" t="s">
        <v>159</v>
      </c>
      <c r="C15" s="11">
        <v>1</v>
      </c>
      <c r="D15" s="11" t="s">
        <v>166</v>
      </c>
      <c r="E15" s="11" t="s">
        <v>168</v>
      </c>
      <c r="F15" s="11" t="s">
        <v>172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4</v>
      </c>
      <c r="Q15" s="11">
        <v>1</v>
      </c>
      <c r="R15" s="11"/>
      <c r="S15" s="11"/>
      <c r="T15" s="11"/>
      <c r="U15" s="11"/>
      <c r="V15" s="11"/>
      <c r="W15" s="11">
        <v>3</v>
      </c>
      <c r="X15" s="11"/>
      <c r="Y15" s="14"/>
    </row>
    <row r="16" spans="1:25" ht="30.75" customHeight="1" x14ac:dyDescent="0.3">
      <c r="A16" s="16">
        <v>3</v>
      </c>
      <c r="B16" s="11" t="s">
        <v>160</v>
      </c>
      <c r="C16" s="11">
        <v>2</v>
      </c>
      <c r="D16" s="11">
        <v>2</v>
      </c>
      <c r="E16" s="11">
        <v>2</v>
      </c>
      <c r="F16" s="11" t="s">
        <v>164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4</v>
      </c>
      <c r="Q16" s="11"/>
      <c r="R16" s="11">
        <v>3</v>
      </c>
      <c r="S16" s="11"/>
      <c r="T16" s="11"/>
      <c r="U16" s="11"/>
      <c r="V16" s="11"/>
      <c r="W16" s="11">
        <v>1</v>
      </c>
      <c r="X16" s="11"/>
      <c r="Y16" s="14"/>
    </row>
    <row r="17" spans="1:25" ht="30.75" customHeight="1" x14ac:dyDescent="0.3">
      <c r="A17" s="16">
        <v>4</v>
      </c>
      <c r="B17" s="11" t="s">
        <v>161</v>
      </c>
      <c r="C17" s="11" t="s">
        <v>165</v>
      </c>
      <c r="D17" s="11" t="s">
        <v>167</v>
      </c>
      <c r="E17" s="11" t="s">
        <v>169</v>
      </c>
      <c r="F17" s="11" t="s">
        <v>173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4</v>
      </c>
      <c r="Q17" s="11"/>
      <c r="R17" s="11"/>
      <c r="S17" s="11"/>
      <c r="T17" s="11"/>
      <c r="U17" s="11"/>
      <c r="V17" s="11">
        <v>3</v>
      </c>
      <c r="W17" s="11">
        <v>1</v>
      </c>
      <c r="X17" s="11"/>
      <c r="Y17" s="14"/>
    </row>
    <row r="18" spans="1:25" ht="30.75" customHeight="1" x14ac:dyDescent="0.3">
      <c r="A18" s="16">
        <v>5</v>
      </c>
      <c r="B18" s="11" t="s">
        <v>162</v>
      </c>
      <c r="C18" s="11" t="s">
        <v>164</v>
      </c>
      <c r="D18" s="11" t="s">
        <v>164</v>
      </c>
      <c r="E18" s="11" t="s">
        <v>174</v>
      </c>
      <c r="F18" s="11">
        <v>3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4</v>
      </c>
      <c r="Q18" s="11"/>
      <c r="R18" s="11"/>
      <c r="S18" s="11">
        <v>1</v>
      </c>
      <c r="T18" s="11"/>
      <c r="U18" s="11"/>
      <c r="V18" s="11"/>
      <c r="W18" s="11">
        <v>2</v>
      </c>
      <c r="X18" s="11">
        <v>1</v>
      </c>
      <c r="Y18" s="14"/>
    </row>
    <row r="19" spans="1:25" ht="30.75" customHeight="1" x14ac:dyDescent="0.3">
      <c r="A19" s="16">
        <v>6</v>
      </c>
      <c r="B19" s="11" t="s">
        <v>163</v>
      </c>
      <c r="C19" s="11" t="s">
        <v>164</v>
      </c>
      <c r="D19" s="11">
        <v>1</v>
      </c>
      <c r="E19" s="11" t="s">
        <v>170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</v>
      </c>
      <c r="Q19" s="11">
        <v>1</v>
      </c>
      <c r="R19" s="11"/>
      <c r="S19" s="11"/>
      <c r="T19" s="11"/>
      <c r="U19" s="11"/>
      <c r="V19" s="11"/>
      <c r="W19" s="11">
        <v>2</v>
      </c>
      <c r="X19" s="11"/>
      <c r="Y19" s="14"/>
    </row>
    <row r="20" spans="1:25" ht="30.75" customHeight="1" x14ac:dyDescent="0.3">
      <c r="A20" s="16">
        <v>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4"/>
    </row>
    <row r="21" spans="1:25" ht="30.75" customHeight="1" x14ac:dyDescent="0.3">
      <c r="A21" s="16">
        <v>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4"/>
    </row>
    <row r="22" spans="1:25" ht="30.75" customHeight="1" x14ac:dyDescent="0.3">
      <c r="A22" s="16">
        <v>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4"/>
    </row>
    <row r="23" spans="1:25" ht="30.75" customHeight="1" x14ac:dyDescent="0.3">
      <c r="A23" s="16">
        <v>10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4"/>
    </row>
    <row r="24" spans="1:25" ht="30.75" customHeight="1" x14ac:dyDescent="0.3">
      <c r="A24" s="16" t="s">
        <v>18</v>
      </c>
      <c r="B24" s="11"/>
      <c r="C24" s="11"/>
      <c r="D24" s="11"/>
      <c r="E24" s="11"/>
      <c r="F24" s="11"/>
      <c r="G24" s="11"/>
      <c r="H24" s="11"/>
      <c r="I24" s="11"/>
      <c r="J24" s="14"/>
      <c r="K24" s="14"/>
      <c r="L24" s="11"/>
      <c r="M24" s="11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16">
    <mergeCell ref="D7:E7"/>
    <mergeCell ref="D8:E8"/>
    <mergeCell ref="A2:G2"/>
    <mergeCell ref="A3:F3"/>
    <mergeCell ref="D4:E4"/>
    <mergeCell ref="D5:E5"/>
    <mergeCell ref="D6:E6"/>
    <mergeCell ref="Y12:Y13"/>
    <mergeCell ref="A9:I9"/>
    <mergeCell ref="C12:O12"/>
    <mergeCell ref="A12:B12"/>
    <mergeCell ref="P12:P13"/>
    <mergeCell ref="U12:U13"/>
    <mergeCell ref="V12:X12"/>
    <mergeCell ref="Q12:T12"/>
    <mergeCell ref="A11:X11"/>
  </mergeCells>
  <phoneticPr fontId="4" type="noConversion"/>
  <pageMargins left="0.7" right="0.7" top="0.75" bottom="0.75" header="0.3" footer="0.3"/>
  <pageSetup paperSize="9" orientation="portrait" verticalDpi="0" copies="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4"/>
  <sheetViews>
    <sheetView tabSelected="1" topLeftCell="A4" workbookViewId="0">
      <selection activeCell="R22" sqref="R22"/>
    </sheetView>
  </sheetViews>
  <sheetFormatPr defaultRowHeight="16.5" x14ac:dyDescent="0.3"/>
  <cols>
    <col min="2" max="2" width="14.625" customWidth="1"/>
    <col min="25" max="25" width="12.875" customWidth="1"/>
  </cols>
  <sheetData>
    <row r="2" spans="1:25" ht="32.25" customHeight="1" x14ac:dyDescent="0.3">
      <c r="A2" s="32" t="s">
        <v>152</v>
      </c>
      <c r="B2" s="32"/>
      <c r="C2" s="32"/>
      <c r="D2" s="32"/>
      <c r="E2" s="32"/>
      <c r="F2" s="32"/>
      <c r="G2" s="32"/>
    </row>
    <row r="3" spans="1:25" ht="24" customHeight="1" x14ac:dyDescent="0.3">
      <c r="A3" s="33" t="s">
        <v>19</v>
      </c>
      <c r="B3" s="33"/>
      <c r="C3" s="33"/>
      <c r="D3" s="33"/>
      <c r="E3" s="33"/>
      <c r="F3" s="33"/>
    </row>
    <row r="4" spans="1:25" ht="23.25" x14ac:dyDescent="0.3">
      <c r="A4" s="9" t="s">
        <v>20</v>
      </c>
      <c r="B4" s="9" t="s">
        <v>21</v>
      </c>
      <c r="C4" s="9" t="s">
        <v>20</v>
      </c>
      <c r="D4" s="34" t="s">
        <v>21</v>
      </c>
      <c r="E4" s="34"/>
    </row>
    <row r="5" spans="1:25" ht="18" x14ac:dyDescent="0.3">
      <c r="A5" s="10" t="s">
        <v>22</v>
      </c>
      <c r="B5" s="11" t="s">
        <v>23</v>
      </c>
      <c r="C5" s="10" t="s">
        <v>15</v>
      </c>
      <c r="D5" s="35" t="s">
        <v>24</v>
      </c>
      <c r="E5" s="35"/>
    </row>
    <row r="6" spans="1:25" ht="18" x14ac:dyDescent="0.3">
      <c r="A6" s="10" t="s">
        <v>25</v>
      </c>
      <c r="B6" s="11" t="s">
        <v>26</v>
      </c>
      <c r="C6" s="10" t="s">
        <v>16</v>
      </c>
      <c r="D6" s="35" t="s">
        <v>27</v>
      </c>
      <c r="E6" s="35"/>
    </row>
    <row r="7" spans="1:25" ht="18" x14ac:dyDescent="0.3">
      <c r="A7" s="10" t="s">
        <v>28</v>
      </c>
      <c r="B7" s="11" t="s">
        <v>29</v>
      </c>
      <c r="C7" s="10" t="s">
        <v>17</v>
      </c>
      <c r="D7" s="35" t="s">
        <v>30</v>
      </c>
      <c r="E7" s="35"/>
    </row>
    <row r="8" spans="1:25" ht="18" customHeight="1" x14ac:dyDescent="0.3">
      <c r="A8" s="10" t="s">
        <v>44</v>
      </c>
      <c r="B8" s="11" t="s">
        <v>31</v>
      </c>
      <c r="C8" s="10" t="s">
        <v>32</v>
      </c>
      <c r="D8" s="35" t="s">
        <v>33</v>
      </c>
      <c r="E8" s="35"/>
    </row>
    <row r="9" spans="1:25" ht="21" customHeight="1" x14ac:dyDescent="0.3">
      <c r="A9" s="26" t="s">
        <v>34</v>
      </c>
      <c r="B9" s="26"/>
      <c r="C9" s="26"/>
      <c r="D9" s="26"/>
      <c r="E9" s="26"/>
      <c r="F9" s="26"/>
      <c r="G9" s="26"/>
      <c r="H9" s="26"/>
      <c r="I9" s="26"/>
    </row>
    <row r="11" spans="1:25" s="12" customFormat="1" ht="36" x14ac:dyDescent="0.3">
      <c r="A11" s="31" t="s">
        <v>35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5" s="1" customFormat="1" ht="27" customHeight="1" x14ac:dyDescent="0.3">
      <c r="A12" s="27" t="s">
        <v>12</v>
      </c>
      <c r="B12" s="27"/>
      <c r="C12" s="27" t="s">
        <v>36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 t="s">
        <v>37</v>
      </c>
      <c r="Q12" s="28" t="s">
        <v>43</v>
      </c>
      <c r="R12" s="29"/>
      <c r="S12" s="29"/>
      <c r="T12" s="30"/>
      <c r="U12" s="27" t="s">
        <v>41</v>
      </c>
      <c r="V12" s="27" t="s">
        <v>42</v>
      </c>
      <c r="W12" s="27"/>
      <c r="X12" s="27"/>
      <c r="Y12" s="24" t="s">
        <v>46</v>
      </c>
    </row>
    <row r="13" spans="1:25" s="1" customFormat="1" ht="23.25" x14ac:dyDescent="0.3">
      <c r="A13" s="15" t="s">
        <v>12</v>
      </c>
      <c r="B13" s="15" t="s">
        <v>13</v>
      </c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  <c r="M13" s="15">
        <v>11</v>
      </c>
      <c r="N13" s="15">
        <v>12</v>
      </c>
      <c r="O13" s="15">
        <v>13</v>
      </c>
      <c r="P13" s="27"/>
      <c r="Q13" s="15" t="s">
        <v>38</v>
      </c>
      <c r="R13" s="15" t="s">
        <v>39</v>
      </c>
      <c r="S13" s="15" t="s">
        <v>40</v>
      </c>
      <c r="T13" s="15" t="s">
        <v>45</v>
      </c>
      <c r="U13" s="27"/>
      <c r="V13" s="15" t="s">
        <v>15</v>
      </c>
      <c r="W13" s="15" t="s">
        <v>16</v>
      </c>
      <c r="X13" s="15" t="s">
        <v>17</v>
      </c>
      <c r="Y13" s="25"/>
    </row>
    <row r="14" spans="1:25" ht="30.75" customHeight="1" x14ac:dyDescent="0.3">
      <c r="A14" s="16">
        <v>1</v>
      </c>
      <c r="B14" s="11" t="s">
        <v>175</v>
      </c>
      <c r="C14" s="11" t="s">
        <v>183</v>
      </c>
      <c r="D14" s="11" t="s">
        <v>183</v>
      </c>
      <c r="E14" s="11" t="s">
        <v>183</v>
      </c>
      <c r="F14" s="11" t="s">
        <v>186</v>
      </c>
      <c r="G14" s="11" t="s">
        <v>184</v>
      </c>
      <c r="H14" s="11">
        <v>1</v>
      </c>
      <c r="I14" s="11"/>
      <c r="J14" s="11"/>
      <c r="K14" s="11"/>
      <c r="L14" s="11"/>
      <c r="M14" s="11"/>
      <c r="N14" s="11"/>
      <c r="O14" s="11"/>
      <c r="P14" s="11">
        <v>6</v>
      </c>
      <c r="Q14" s="11">
        <v>1</v>
      </c>
      <c r="R14" s="11"/>
      <c r="S14" s="11"/>
      <c r="T14" s="11"/>
      <c r="U14" s="11"/>
      <c r="V14" s="11">
        <v>4</v>
      </c>
      <c r="W14" s="11">
        <v>1</v>
      </c>
      <c r="X14" s="11"/>
      <c r="Y14" s="14"/>
    </row>
    <row r="15" spans="1:25" ht="30.75" customHeight="1" x14ac:dyDescent="0.3">
      <c r="A15" s="16">
        <v>2</v>
      </c>
      <c r="B15" s="11" t="s">
        <v>176</v>
      </c>
      <c r="C15" s="11" t="s">
        <v>183</v>
      </c>
      <c r="D15" s="11">
        <v>1</v>
      </c>
      <c r="E15" s="11">
        <v>2</v>
      </c>
      <c r="F15" s="11" t="s">
        <v>187</v>
      </c>
      <c r="G15" s="11">
        <v>2</v>
      </c>
      <c r="H15" s="11" t="s">
        <v>184</v>
      </c>
      <c r="I15" s="11"/>
      <c r="J15" s="11"/>
      <c r="K15" s="11"/>
      <c r="L15" s="11"/>
      <c r="M15" s="11"/>
      <c r="N15" s="11"/>
      <c r="O15" s="11"/>
      <c r="P15" s="11">
        <v>6</v>
      </c>
      <c r="Q15" s="11">
        <v>1</v>
      </c>
      <c r="R15" s="11">
        <v>2</v>
      </c>
      <c r="S15" s="11"/>
      <c r="T15" s="11"/>
      <c r="U15" s="11"/>
      <c r="V15" s="11">
        <v>1</v>
      </c>
      <c r="W15" s="11">
        <v>2</v>
      </c>
      <c r="X15" s="11"/>
      <c r="Y15" s="14"/>
    </row>
    <row r="16" spans="1:25" ht="30.75" customHeight="1" x14ac:dyDescent="0.3">
      <c r="A16" s="16">
        <v>3</v>
      </c>
      <c r="B16" s="11" t="s">
        <v>177</v>
      </c>
      <c r="C16" s="11" t="s">
        <v>184</v>
      </c>
      <c r="D16" s="11" t="s">
        <v>188</v>
      </c>
      <c r="E16" s="11" t="s">
        <v>188</v>
      </c>
      <c r="F16" s="11" t="s">
        <v>188</v>
      </c>
      <c r="G16" s="11" t="s">
        <v>189</v>
      </c>
      <c r="H16" s="11"/>
      <c r="I16" s="11"/>
      <c r="J16" s="11"/>
      <c r="K16" s="11"/>
      <c r="L16" s="11"/>
      <c r="M16" s="11"/>
      <c r="N16" s="11"/>
      <c r="O16" s="11"/>
      <c r="P16" s="11">
        <v>5</v>
      </c>
      <c r="Q16" s="11"/>
      <c r="R16" s="11"/>
      <c r="S16" s="11"/>
      <c r="T16" s="11">
        <v>3</v>
      </c>
      <c r="U16" s="11"/>
      <c r="V16" s="11"/>
      <c r="W16" s="11">
        <v>2</v>
      </c>
      <c r="X16" s="11"/>
      <c r="Y16" s="14"/>
    </row>
    <row r="17" spans="1:25" ht="30.75" customHeight="1" x14ac:dyDescent="0.3">
      <c r="A17" s="16">
        <v>4</v>
      </c>
      <c r="B17" s="11" t="s">
        <v>178</v>
      </c>
      <c r="C17" s="11">
        <v>1</v>
      </c>
      <c r="D17" s="11" t="s">
        <v>184</v>
      </c>
      <c r="E17" s="11" t="s">
        <v>188</v>
      </c>
      <c r="F17" s="11">
        <v>1</v>
      </c>
      <c r="G17" s="11">
        <v>1</v>
      </c>
      <c r="H17" s="11"/>
      <c r="I17" s="11"/>
      <c r="J17" s="11"/>
      <c r="K17" s="11"/>
      <c r="L17" s="11"/>
      <c r="M17" s="11"/>
      <c r="N17" s="11"/>
      <c r="O17" s="11"/>
      <c r="P17" s="11">
        <v>5</v>
      </c>
      <c r="Q17" s="11">
        <v>3</v>
      </c>
      <c r="R17" s="11"/>
      <c r="S17" s="11"/>
      <c r="T17" s="11">
        <v>1</v>
      </c>
      <c r="U17" s="11"/>
      <c r="V17" s="11"/>
      <c r="W17" s="11">
        <v>1</v>
      </c>
      <c r="X17" s="11"/>
      <c r="Y17" s="14"/>
    </row>
    <row r="18" spans="1:25" ht="30.75" customHeight="1" x14ac:dyDescent="0.3">
      <c r="A18" s="16">
        <v>5</v>
      </c>
      <c r="B18" s="11" t="s">
        <v>179</v>
      </c>
      <c r="C18" s="11" t="s">
        <v>185</v>
      </c>
      <c r="D18" s="11" t="s">
        <v>183</v>
      </c>
      <c r="E18" s="11" t="s">
        <v>183</v>
      </c>
      <c r="F18" s="11">
        <v>1</v>
      </c>
      <c r="G18" s="11" t="s">
        <v>190</v>
      </c>
      <c r="H18" s="11"/>
      <c r="I18" s="11"/>
      <c r="J18" s="11"/>
      <c r="K18" s="11"/>
      <c r="L18" s="11"/>
      <c r="M18" s="11"/>
      <c r="N18" s="11"/>
      <c r="O18" s="11"/>
      <c r="P18" s="11">
        <v>5</v>
      </c>
      <c r="Q18" s="11">
        <v>1</v>
      </c>
      <c r="R18" s="11"/>
      <c r="S18" s="11"/>
      <c r="T18" s="11"/>
      <c r="U18" s="11"/>
      <c r="V18" s="11">
        <v>4</v>
      </c>
      <c r="W18" s="11"/>
      <c r="X18" s="11"/>
      <c r="Y18" s="14"/>
    </row>
    <row r="19" spans="1:25" ht="30.75" customHeight="1" x14ac:dyDescent="0.3">
      <c r="A19" s="16">
        <v>6</v>
      </c>
      <c r="B19" s="11" t="s">
        <v>180</v>
      </c>
      <c r="C19" s="11" t="s">
        <v>183</v>
      </c>
      <c r="D19" s="11">
        <v>2</v>
      </c>
      <c r="E19" s="11" t="s">
        <v>191</v>
      </c>
      <c r="F19" s="11" t="s">
        <v>184</v>
      </c>
      <c r="G19" s="11" t="s">
        <v>187</v>
      </c>
      <c r="H19" s="11"/>
      <c r="I19" s="11"/>
      <c r="J19" s="11"/>
      <c r="K19" s="11"/>
      <c r="L19" s="11"/>
      <c r="M19" s="11"/>
      <c r="N19" s="11"/>
      <c r="O19" s="11"/>
      <c r="P19" s="11">
        <v>5</v>
      </c>
      <c r="Q19" s="11"/>
      <c r="R19" s="11">
        <v>1</v>
      </c>
      <c r="S19" s="11"/>
      <c r="T19" s="11"/>
      <c r="U19" s="11"/>
      <c r="V19" s="11">
        <v>1</v>
      </c>
      <c r="W19" s="11">
        <v>3</v>
      </c>
      <c r="X19" s="11"/>
      <c r="Y19" s="14"/>
    </row>
    <row r="20" spans="1:25" ht="30.75" customHeight="1" x14ac:dyDescent="0.3">
      <c r="A20" s="16">
        <v>7</v>
      </c>
      <c r="B20" s="11" t="s">
        <v>181</v>
      </c>
      <c r="C20" s="11">
        <v>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</v>
      </c>
      <c r="Q20" s="11">
        <v>1</v>
      </c>
      <c r="R20" s="11"/>
      <c r="S20" s="11"/>
      <c r="T20" s="11"/>
      <c r="U20" s="11"/>
      <c r="V20" s="11"/>
      <c r="W20" s="11"/>
      <c r="X20" s="11"/>
      <c r="Y20" s="14"/>
    </row>
    <row r="21" spans="1:25" ht="30.75" customHeight="1" x14ac:dyDescent="0.3">
      <c r="A21" s="16">
        <v>8</v>
      </c>
      <c r="B21" s="11" t="s">
        <v>182</v>
      </c>
      <c r="C21" s="11">
        <v>2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</v>
      </c>
      <c r="Q21" s="11"/>
      <c r="R21" s="11">
        <v>1</v>
      </c>
      <c r="S21" s="11"/>
      <c r="T21" s="11"/>
      <c r="U21" s="11"/>
      <c r="V21" s="11"/>
      <c r="W21" s="11"/>
      <c r="X21" s="11"/>
      <c r="Y21" s="14"/>
    </row>
    <row r="22" spans="1:25" ht="30.75" customHeight="1" x14ac:dyDescent="0.3">
      <c r="A22" s="16">
        <v>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4"/>
    </row>
    <row r="23" spans="1:25" ht="30.75" customHeight="1" x14ac:dyDescent="0.3">
      <c r="A23" s="16">
        <v>10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4"/>
    </row>
    <row r="24" spans="1:25" ht="30.75" customHeight="1" x14ac:dyDescent="0.3">
      <c r="A24" s="16" t="s">
        <v>18</v>
      </c>
      <c r="B24" s="11"/>
      <c r="C24" s="11"/>
      <c r="D24" s="11"/>
      <c r="E24" s="11"/>
      <c r="F24" s="11"/>
      <c r="G24" s="11"/>
      <c r="H24" s="11"/>
      <c r="I24" s="11"/>
      <c r="J24" s="14"/>
      <c r="K24" s="14"/>
      <c r="L24" s="11"/>
      <c r="M24" s="11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16">
    <mergeCell ref="Y12:Y13"/>
    <mergeCell ref="D8:E8"/>
    <mergeCell ref="A9:I9"/>
    <mergeCell ref="A11:X11"/>
    <mergeCell ref="A12:B12"/>
    <mergeCell ref="C12:O12"/>
    <mergeCell ref="P12:P13"/>
    <mergeCell ref="Q12:T12"/>
    <mergeCell ref="U12:U13"/>
    <mergeCell ref="V12:X12"/>
    <mergeCell ref="A2:G2"/>
    <mergeCell ref="A3:F3"/>
    <mergeCell ref="D4:E4"/>
    <mergeCell ref="D5:E5"/>
    <mergeCell ref="D6:E6"/>
    <mergeCell ref="D7:E7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49"/>
  <sheetViews>
    <sheetView workbookViewId="0">
      <selection activeCell="A6" sqref="A6"/>
    </sheetView>
  </sheetViews>
  <sheetFormatPr defaultRowHeight="16.5" x14ac:dyDescent="0.3"/>
  <cols>
    <col min="2" max="2" width="11.5" customWidth="1"/>
    <col min="3" max="3" width="11.5" bestFit="1" customWidth="1"/>
    <col min="14" max="14" width="9.875" bestFit="1" customWidth="1"/>
    <col min="15" max="15" width="9.75" customWidth="1"/>
  </cols>
  <sheetData>
    <row r="4" spans="1:17" ht="29.25" customHeight="1" x14ac:dyDescent="0.3">
      <c r="A4" s="26" t="s">
        <v>61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7" s="1" customFormat="1" ht="23.25" x14ac:dyDescent="0.3">
      <c r="A5" s="13" t="s">
        <v>62</v>
      </c>
      <c r="B5" s="13" t="s">
        <v>63</v>
      </c>
      <c r="C5" s="13" t="s">
        <v>74</v>
      </c>
      <c r="D5" s="13" t="s">
        <v>64</v>
      </c>
      <c r="E5" s="13" t="s">
        <v>23</v>
      </c>
      <c r="F5" s="13" t="s">
        <v>26</v>
      </c>
      <c r="G5" s="13" t="s">
        <v>29</v>
      </c>
      <c r="H5" s="13" t="s">
        <v>31</v>
      </c>
      <c r="I5" s="13" t="s">
        <v>65</v>
      </c>
      <c r="J5" s="13" t="s">
        <v>14</v>
      </c>
      <c r="K5" s="13" t="s">
        <v>24</v>
      </c>
      <c r="L5" s="13" t="s">
        <v>66</v>
      </c>
      <c r="M5" s="13" t="s">
        <v>67</v>
      </c>
      <c r="N5" s="13" t="s">
        <v>68</v>
      </c>
      <c r="O5" s="13" t="s">
        <v>69</v>
      </c>
      <c r="P5" s="13" t="s">
        <v>68</v>
      </c>
      <c r="Q5" s="13" t="s">
        <v>69</v>
      </c>
    </row>
    <row r="6" spans="1:17" ht="39" customHeight="1" x14ac:dyDescent="0.3">
      <c r="A6" s="11"/>
      <c r="B6" s="11" t="s">
        <v>70</v>
      </c>
      <c r="C6" s="18">
        <v>46246</v>
      </c>
      <c r="D6" s="11">
        <v>32</v>
      </c>
      <c r="E6" s="11">
        <v>8</v>
      </c>
      <c r="F6" s="11">
        <v>3</v>
      </c>
      <c r="G6" s="11">
        <v>1</v>
      </c>
      <c r="H6" s="11">
        <v>2</v>
      </c>
      <c r="I6" s="11">
        <v>14</v>
      </c>
      <c r="J6" s="11">
        <v>12</v>
      </c>
      <c r="K6" s="11">
        <v>6</v>
      </c>
      <c r="L6" s="11">
        <v>10</v>
      </c>
      <c r="M6" s="11">
        <v>2</v>
      </c>
      <c r="N6" s="20">
        <f t="shared" ref="N6:N37" si="0">I6/D6</f>
        <v>0.4375</v>
      </c>
      <c r="O6" s="20">
        <f t="shared" ref="O6:O37" si="1">((E6*1)+(F6*2)+(G6*3)+(H6*4))/D6</f>
        <v>0.78125</v>
      </c>
      <c r="P6" s="11">
        <v>0.438</v>
      </c>
      <c r="Q6" s="11">
        <v>0.65600000000000003</v>
      </c>
    </row>
    <row r="7" spans="1:17" ht="39" customHeight="1" x14ac:dyDescent="0.3">
      <c r="A7" s="11"/>
      <c r="B7" s="11" t="s">
        <v>71</v>
      </c>
      <c r="C7" s="18">
        <v>46215</v>
      </c>
      <c r="D7" s="11">
        <v>28</v>
      </c>
      <c r="E7" s="11">
        <v>6</v>
      </c>
      <c r="F7" s="11">
        <v>2</v>
      </c>
      <c r="G7" s="11">
        <v>1</v>
      </c>
      <c r="H7" s="11">
        <v>3</v>
      </c>
      <c r="I7" s="11">
        <v>11</v>
      </c>
      <c r="J7" s="11">
        <v>10</v>
      </c>
      <c r="K7" s="5">
        <v>8</v>
      </c>
      <c r="L7" s="5">
        <v>8</v>
      </c>
      <c r="M7" s="5">
        <v>1</v>
      </c>
      <c r="N7" s="20">
        <f t="shared" si="0"/>
        <v>0.39285714285714285</v>
      </c>
      <c r="O7" s="20">
        <f t="shared" si="1"/>
        <v>0.8928571428571429</v>
      </c>
      <c r="P7" s="5">
        <v>0.39300000000000002</v>
      </c>
      <c r="Q7" s="5">
        <v>0.67900000000000005</v>
      </c>
    </row>
    <row r="8" spans="1:17" ht="39" customHeight="1" x14ac:dyDescent="0.3">
      <c r="A8" s="11"/>
      <c r="B8" s="11" t="s">
        <v>70</v>
      </c>
      <c r="C8" s="18">
        <v>46246</v>
      </c>
      <c r="D8" s="11">
        <v>32</v>
      </c>
      <c r="E8" s="11">
        <v>8</v>
      </c>
      <c r="F8" s="11">
        <v>3</v>
      </c>
      <c r="G8" s="11">
        <v>1</v>
      </c>
      <c r="H8" s="11">
        <v>2</v>
      </c>
      <c r="I8" s="11">
        <v>14</v>
      </c>
      <c r="J8" s="11">
        <v>12</v>
      </c>
      <c r="K8" s="11">
        <v>6</v>
      </c>
      <c r="L8" s="11">
        <v>10</v>
      </c>
      <c r="M8" s="11">
        <v>2</v>
      </c>
      <c r="N8" s="20">
        <f t="shared" si="0"/>
        <v>0.4375</v>
      </c>
      <c r="O8" s="20">
        <f t="shared" si="1"/>
        <v>0.78125</v>
      </c>
      <c r="P8" s="11">
        <v>0.438</v>
      </c>
      <c r="Q8" s="11">
        <v>0.65600000000000003</v>
      </c>
    </row>
    <row r="9" spans="1:17" ht="39" customHeight="1" x14ac:dyDescent="0.3">
      <c r="A9" s="11"/>
      <c r="B9" s="11" t="s">
        <v>71</v>
      </c>
      <c r="C9" s="18">
        <v>46215</v>
      </c>
      <c r="D9" s="11">
        <v>28</v>
      </c>
      <c r="E9" s="11">
        <v>6</v>
      </c>
      <c r="F9" s="11">
        <v>2</v>
      </c>
      <c r="G9" s="11">
        <v>0</v>
      </c>
      <c r="H9" s="11">
        <v>3</v>
      </c>
      <c r="I9" s="11">
        <v>11</v>
      </c>
      <c r="J9" s="11">
        <v>10</v>
      </c>
      <c r="K9" s="5">
        <v>8</v>
      </c>
      <c r="L9" s="5">
        <v>8</v>
      </c>
      <c r="M9" s="5">
        <v>1</v>
      </c>
      <c r="N9" s="20">
        <f t="shared" si="0"/>
        <v>0.39285714285714285</v>
      </c>
      <c r="O9" s="20">
        <f t="shared" si="1"/>
        <v>0.7857142857142857</v>
      </c>
      <c r="P9" s="5">
        <v>0.39300000000000002</v>
      </c>
      <c r="Q9" s="5">
        <v>0.67900000000000005</v>
      </c>
    </row>
    <row r="10" spans="1:17" ht="39" customHeight="1" x14ac:dyDescent="0.3">
      <c r="A10" s="11"/>
      <c r="B10" s="11" t="s">
        <v>70</v>
      </c>
      <c r="C10" s="18">
        <v>46246</v>
      </c>
      <c r="D10" s="11">
        <v>32</v>
      </c>
      <c r="E10" s="11">
        <v>8</v>
      </c>
      <c r="F10" s="11">
        <v>3</v>
      </c>
      <c r="G10" s="11">
        <v>1</v>
      </c>
      <c r="H10" s="11">
        <v>2</v>
      </c>
      <c r="I10" s="11">
        <v>14</v>
      </c>
      <c r="J10" s="11">
        <v>12</v>
      </c>
      <c r="K10" s="11">
        <v>6</v>
      </c>
      <c r="L10" s="11">
        <v>10</v>
      </c>
      <c r="M10" s="11">
        <v>2</v>
      </c>
      <c r="N10" s="20">
        <f t="shared" si="0"/>
        <v>0.4375</v>
      </c>
      <c r="O10" s="20">
        <f t="shared" si="1"/>
        <v>0.78125</v>
      </c>
      <c r="P10" s="11">
        <v>0.438</v>
      </c>
      <c r="Q10" s="11">
        <v>0.65600000000000003</v>
      </c>
    </row>
    <row r="11" spans="1:17" ht="39" customHeight="1" x14ac:dyDescent="0.3">
      <c r="A11" s="11"/>
      <c r="B11" s="11" t="s">
        <v>71</v>
      </c>
      <c r="C11" s="18">
        <v>46215</v>
      </c>
      <c r="D11" s="11">
        <v>28</v>
      </c>
      <c r="E11" s="11">
        <v>6</v>
      </c>
      <c r="F11" s="11">
        <v>2</v>
      </c>
      <c r="G11" s="11">
        <v>0</v>
      </c>
      <c r="H11" s="11">
        <v>3</v>
      </c>
      <c r="I11" s="11">
        <v>11</v>
      </c>
      <c r="J11" s="11">
        <v>10</v>
      </c>
      <c r="K11" s="5">
        <v>8</v>
      </c>
      <c r="L11" s="5">
        <v>8</v>
      </c>
      <c r="M11" s="5">
        <v>1</v>
      </c>
      <c r="N11" s="20">
        <f t="shared" si="0"/>
        <v>0.39285714285714285</v>
      </c>
      <c r="O11" s="20">
        <f t="shared" si="1"/>
        <v>0.7857142857142857</v>
      </c>
      <c r="P11" s="5">
        <v>0.39300000000000002</v>
      </c>
      <c r="Q11" s="5">
        <v>0.67900000000000005</v>
      </c>
    </row>
    <row r="12" spans="1:17" ht="39" customHeight="1" x14ac:dyDescent="0.3">
      <c r="A12" s="11"/>
      <c r="B12" s="11" t="s">
        <v>70</v>
      </c>
      <c r="C12" s="18">
        <v>46246</v>
      </c>
      <c r="D12" s="11">
        <v>32</v>
      </c>
      <c r="E12" s="11">
        <v>8</v>
      </c>
      <c r="F12" s="11">
        <v>3</v>
      </c>
      <c r="G12" s="11">
        <v>1</v>
      </c>
      <c r="H12" s="11">
        <v>2</v>
      </c>
      <c r="I12" s="11">
        <v>14</v>
      </c>
      <c r="J12" s="11">
        <v>12</v>
      </c>
      <c r="K12" s="11">
        <v>6</v>
      </c>
      <c r="L12" s="11">
        <v>10</v>
      </c>
      <c r="M12" s="11">
        <v>2</v>
      </c>
      <c r="N12" s="20">
        <f t="shared" si="0"/>
        <v>0.4375</v>
      </c>
      <c r="O12" s="20">
        <f t="shared" si="1"/>
        <v>0.78125</v>
      </c>
      <c r="P12" s="11">
        <v>0.438</v>
      </c>
      <c r="Q12" s="11">
        <v>0.65600000000000003</v>
      </c>
    </row>
    <row r="13" spans="1:17" ht="39" customHeight="1" x14ac:dyDescent="0.3">
      <c r="A13" s="11"/>
      <c r="B13" s="11" t="s">
        <v>71</v>
      </c>
      <c r="C13" s="18">
        <v>46215</v>
      </c>
      <c r="D13" s="11">
        <v>28</v>
      </c>
      <c r="E13" s="11">
        <v>6</v>
      </c>
      <c r="F13" s="11">
        <v>2</v>
      </c>
      <c r="G13" s="11">
        <v>0</v>
      </c>
      <c r="H13" s="11">
        <v>3</v>
      </c>
      <c r="I13" s="11">
        <v>11</v>
      </c>
      <c r="J13" s="11">
        <v>10</v>
      </c>
      <c r="K13" s="5">
        <v>8</v>
      </c>
      <c r="L13" s="5">
        <v>8</v>
      </c>
      <c r="M13" s="5">
        <v>1</v>
      </c>
      <c r="N13" s="20">
        <f t="shared" si="0"/>
        <v>0.39285714285714285</v>
      </c>
      <c r="O13" s="20">
        <f t="shared" si="1"/>
        <v>0.7857142857142857</v>
      </c>
      <c r="P13" s="5">
        <v>0.39300000000000002</v>
      </c>
      <c r="Q13" s="5">
        <v>0.67900000000000005</v>
      </c>
    </row>
    <row r="14" spans="1:17" ht="39" customHeight="1" x14ac:dyDescent="0.3">
      <c r="A14" s="11"/>
      <c r="B14" s="11" t="s">
        <v>70</v>
      </c>
      <c r="C14" s="18">
        <v>46246</v>
      </c>
      <c r="D14" s="11">
        <v>32</v>
      </c>
      <c r="E14" s="11">
        <v>8</v>
      </c>
      <c r="F14" s="11">
        <v>3</v>
      </c>
      <c r="G14" s="11">
        <v>1</v>
      </c>
      <c r="H14" s="11">
        <v>2</v>
      </c>
      <c r="I14" s="11">
        <v>14</v>
      </c>
      <c r="J14" s="11">
        <v>12</v>
      </c>
      <c r="K14" s="11">
        <v>6</v>
      </c>
      <c r="L14" s="11">
        <v>10</v>
      </c>
      <c r="M14" s="11">
        <v>2</v>
      </c>
      <c r="N14" s="20">
        <f t="shared" si="0"/>
        <v>0.4375</v>
      </c>
      <c r="O14" s="20">
        <f t="shared" si="1"/>
        <v>0.78125</v>
      </c>
      <c r="P14" s="11">
        <v>0.438</v>
      </c>
      <c r="Q14" s="11">
        <v>0.65600000000000003</v>
      </c>
    </row>
    <row r="15" spans="1:17" ht="39" customHeight="1" x14ac:dyDescent="0.3">
      <c r="A15" s="11"/>
      <c r="B15" s="11" t="s">
        <v>71</v>
      </c>
      <c r="C15" s="18">
        <v>46215</v>
      </c>
      <c r="D15" s="11">
        <v>28</v>
      </c>
      <c r="E15" s="11">
        <v>6</v>
      </c>
      <c r="F15" s="11">
        <v>2</v>
      </c>
      <c r="G15" s="11">
        <v>0</v>
      </c>
      <c r="H15" s="11">
        <v>3</v>
      </c>
      <c r="I15" s="11">
        <v>11</v>
      </c>
      <c r="J15" s="11">
        <v>10</v>
      </c>
      <c r="K15" s="5">
        <v>8</v>
      </c>
      <c r="L15" s="5">
        <v>8</v>
      </c>
      <c r="M15" s="5">
        <v>1</v>
      </c>
      <c r="N15" s="20">
        <f t="shared" si="0"/>
        <v>0.39285714285714285</v>
      </c>
      <c r="O15" s="20">
        <f t="shared" si="1"/>
        <v>0.7857142857142857</v>
      </c>
      <c r="P15" s="5">
        <v>0.39300000000000002</v>
      </c>
      <c r="Q15" s="5">
        <v>0.67900000000000005</v>
      </c>
    </row>
    <row r="16" spans="1:17" ht="39" customHeight="1" x14ac:dyDescent="0.3">
      <c r="A16" s="11"/>
      <c r="B16" s="11" t="s">
        <v>70</v>
      </c>
      <c r="C16" s="18">
        <v>46246</v>
      </c>
      <c r="D16" s="11">
        <v>32</v>
      </c>
      <c r="E16" s="11">
        <v>8</v>
      </c>
      <c r="F16" s="11">
        <v>3</v>
      </c>
      <c r="G16" s="11">
        <v>1</v>
      </c>
      <c r="H16" s="11">
        <v>2</v>
      </c>
      <c r="I16" s="11">
        <v>14</v>
      </c>
      <c r="J16" s="11">
        <v>12</v>
      </c>
      <c r="K16" s="11">
        <v>6</v>
      </c>
      <c r="L16" s="11">
        <v>10</v>
      </c>
      <c r="M16" s="11">
        <v>2</v>
      </c>
      <c r="N16" s="20">
        <f t="shared" si="0"/>
        <v>0.4375</v>
      </c>
      <c r="O16" s="20">
        <f t="shared" si="1"/>
        <v>0.78125</v>
      </c>
      <c r="P16" s="11">
        <v>0.438</v>
      </c>
      <c r="Q16" s="11">
        <v>0.65600000000000003</v>
      </c>
    </row>
    <row r="17" spans="1:17" ht="39" customHeight="1" x14ac:dyDescent="0.3">
      <c r="A17" s="11"/>
      <c r="B17" s="11" t="s">
        <v>71</v>
      </c>
      <c r="C17" s="18">
        <v>46215</v>
      </c>
      <c r="D17" s="11">
        <v>28</v>
      </c>
      <c r="E17" s="11">
        <v>6</v>
      </c>
      <c r="F17" s="11">
        <v>2</v>
      </c>
      <c r="G17" s="11">
        <v>0</v>
      </c>
      <c r="H17" s="11">
        <v>3</v>
      </c>
      <c r="I17" s="11">
        <v>11</v>
      </c>
      <c r="J17" s="11">
        <v>10</v>
      </c>
      <c r="K17" s="5">
        <v>8</v>
      </c>
      <c r="L17" s="5">
        <v>8</v>
      </c>
      <c r="M17" s="5">
        <v>1</v>
      </c>
      <c r="N17" s="20">
        <f t="shared" si="0"/>
        <v>0.39285714285714285</v>
      </c>
      <c r="O17" s="20">
        <f t="shared" si="1"/>
        <v>0.7857142857142857</v>
      </c>
      <c r="P17" s="5">
        <v>0.39300000000000002</v>
      </c>
      <c r="Q17" s="5">
        <v>0.67900000000000005</v>
      </c>
    </row>
    <row r="18" spans="1:17" ht="39" customHeight="1" x14ac:dyDescent="0.3">
      <c r="A18" s="11"/>
      <c r="B18" s="11" t="s">
        <v>70</v>
      </c>
      <c r="C18" s="18">
        <v>46246</v>
      </c>
      <c r="D18" s="11">
        <v>32</v>
      </c>
      <c r="E18" s="11">
        <v>8</v>
      </c>
      <c r="F18" s="11">
        <v>3</v>
      </c>
      <c r="G18" s="11">
        <v>1</v>
      </c>
      <c r="H18" s="11">
        <v>2</v>
      </c>
      <c r="I18" s="11">
        <v>14</v>
      </c>
      <c r="J18" s="11">
        <v>12</v>
      </c>
      <c r="K18" s="11">
        <v>6</v>
      </c>
      <c r="L18" s="11">
        <v>10</v>
      </c>
      <c r="M18" s="11">
        <v>2</v>
      </c>
      <c r="N18" s="20">
        <f t="shared" si="0"/>
        <v>0.4375</v>
      </c>
      <c r="O18" s="20">
        <f t="shared" si="1"/>
        <v>0.78125</v>
      </c>
      <c r="P18" s="11">
        <v>0.438</v>
      </c>
      <c r="Q18" s="11">
        <v>0.65600000000000003</v>
      </c>
    </row>
    <row r="19" spans="1:17" ht="39" customHeight="1" x14ac:dyDescent="0.3">
      <c r="A19" s="11"/>
      <c r="B19" s="11" t="s">
        <v>71</v>
      </c>
      <c r="C19" s="18">
        <v>46215</v>
      </c>
      <c r="D19" s="11">
        <v>28</v>
      </c>
      <c r="E19" s="11">
        <v>6</v>
      </c>
      <c r="F19" s="11">
        <v>2</v>
      </c>
      <c r="G19" s="11">
        <v>0</v>
      </c>
      <c r="H19" s="11">
        <v>3</v>
      </c>
      <c r="I19" s="11">
        <v>11</v>
      </c>
      <c r="J19" s="11">
        <v>10</v>
      </c>
      <c r="K19" s="5">
        <v>8</v>
      </c>
      <c r="L19" s="5">
        <v>8</v>
      </c>
      <c r="M19" s="5">
        <v>1</v>
      </c>
      <c r="N19" s="20">
        <f t="shared" si="0"/>
        <v>0.39285714285714285</v>
      </c>
      <c r="O19" s="20">
        <f t="shared" si="1"/>
        <v>0.7857142857142857</v>
      </c>
      <c r="P19" s="5">
        <v>0.39300000000000002</v>
      </c>
      <c r="Q19" s="5">
        <v>0.67900000000000005</v>
      </c>
    </row>
    <row r="20" spans="1:17" ht="39" customHeight="1" x14ac:dyDescent="0.3">
      <c r="A20" s="11"/>
      <c r="B20" s="11" t="s">
        <v>70</v>
      </c>
      <c r="C20" s="18">
        <v>46246</v>
      </c>
      <c r="D20" s="11">
        <v>32</v>
      </c>
      <c r="E20" s="11">
        <v>8</v>
      </c>
      <c r="F20" s="11">
        <v>3</v>
      </c>
      <c r="G20" s="11">
        <v>1</v>
      </c>
      <c r="H20" s="11">
        <v>2</v>
      </c>
      <c r="I20" s="11">
        <v>14</v>
      </c>
      <c r="J20" s="11">
        <v>12</v>
      </c>
      <c r="K20" s="11">
        <v>6</v>
      </c>
      <c r="L20" s="11">
        <v>10</v>
      </c>
      <c r="M20" s="11">
        <v>2</v>
      </c>
      <c r="N20" s="20">
        <f t="shared" si="0"/>
        <v>0.4375</v>
      </c>
      <c r="O20" s="20">
        <f t="shared" si="1"/>
        <v>0.78125</v>
      </c>
      <c r="P20" s="11">
        <v>0.438</v>
      </c>
      <c r="Q20" s="11">
        <v>0.65600000000000003</v>
      </c>
    </row>
    <row r="21" spans="1:17" ht="39" customHeight="1" x14ac:dyDescent="0.3">
      <c r="A21" s="11"/>
      <c r="B21" s="11" t="s">
        <v>71</v>
      </c>
      <c r="C21" s="18">
        <v>46215</v>
      </c>
      <c r="D21" s="11">
        <v>28</v>
      </c>
      <c r="E21" s="11">
        <v>6</v>
      </c>
      <c r="F21" s="11">
        <v>2</v>
      </c>
      <c r="G21" s="11">
        <v>0</v>
      </c>
      <c r="H21" s="11">
        <v>3</v>
      </c>
      <c r="I21" s="11">
        <v>11</v>
      </c>
      <c r="J21" s="11">
        <v>10</v>
      </c>
      <c r="K21" s="5">
        <v>8</v>
      </c>
      <c r="L21" s="5">
        <v>8</v>
      </c>
      <c r="M21" s="5">
        <v>1</v>
      </c>
      <c r="N21" s="20">
        <f t="shared" si="0"/>
        <v>0.39285714285714285</v>
      </c>
      <c r="O21" s="20">
        <f t="shared" si="1"/>
        <v>0.7857142857142857</v>
      </c>
      <c r="P21" s="5">
        <v>0.39300000000000002</v>
      </c>
      <c r="Q21" s="5">
        <v>0.67900000000000005</v>
      </c>
    </row>
    <row r="22" spans="1:17" ht="39" customHeight="1" x14ac:dyDescent="0.3">
      <c r="A22" s="11"/>
      <c r="B22" s="11" t="s">
        <v>70</v>
      </c>
      <c r="C22" s="18">
        <v>46246</v>
      </c>
      <c r="D22" s="11">
        <v>32</v>
      </c>
      <c r="E22" s="11">
        <v>8</v>
      </c>
      <c r="F22" s="11">
        <v>3</v>
      </c>
      <c r="G22" s="11">
        <v>1</v>
      </c>
      <c r="H22" s="11">
        <v>2</v>
      </c>
      <c r="I22" s="11">
        <v>14</v>
      </c>
      <c r="J22" s="11">
        <v>12</v>
      </c>
      <c r="K22" s="11">
        <v>6</v>
      </c>
      <c r="L22" s="11">
        <v>10</v>
      </c>
      <c r="M22" s="11">
        <v>2</v>
      </c>
      <c r="N22" s="20">
        <f t="shared" si="0"/>
        <v>0.4375</v>
      </c>
      <c r="O22" s="20">
        <f t="shared" si="1"/>
        <v>0.78125</v>
      </c>
      <c r="P22" s="11">
        <v>0.438</v>
      </c>
      <c r="Q22" s="11">
        <v>0.65600000000000003</v>
      </c>
    </row>
    <row r="23" spans="1:17" ht="39" customHeight="1" x14ac:dyDescent="0.3">
      <c r="A23" s="11"/>
      <c r="B23" s="11" t="s">
        <v>71</v>
      </c>
      <c r="C23" s="18">
        <v>46215</v>
      </c>
      <c r="D23" s="11">
        <v>28</v>
      </c>
      <c r="E23" s="11">
        <v>6</v>
      </c>
      <c r="F23" s="11">
        <v>2</v>
      </c>
      <c r="G23" s="11">
        <v>0</v>
      </c>
      <c r="H23" s="11">
        <v>3</v>
      </c>
      <c r="I23" s="11">
        <v>11</v>
      </c>
      <c r="J23" s="11">
        <v>10</v>
      </c>
      <c r="K23" s="5">
        <v>8</v>
      </c>
      <c r="L23" s="5">
        <v>8</v>
      </c>
      <c r="M23" s="5">
        <v>1</v>
      </c>
      <c r="N23" s="20">
        <f t="shared" si="0"/>
        <v>0.39285714285714285</v>
      </c>
      <c r="O23" s="20">
        <f t="shared" si="1"/>
        <v>0.7857142857142857</v>
      </c>
      <c r="P23" s="5">
        <v>0.39300000000000002</v>
      </c>
      <c r="Q23" s="5">
        <v>0.67900000000000005</v>
      </c>
    </row>
    <row r="24" spans="1:17" ht="39" customHeight="1" x14ac:dyDescent="0.3">
      <c r="A24" s="11"/>
      <c r="B24" s="11" t="s">
        <v>70</v>
      </c>
      <c r="C24" s="18">
        <v>46246</v>
      </c>
      <c r="D24" s="11">
        <v>32</v>
      </c>
      <c r="E24" s="11">
        <v>8</v>
      </c>
      <c r="F24" s="11">
        <v>3</v>
      </c>
      <c r="G24" s="11">
        <v>1</v>
      </c>
      <c r="H24" s="11">
        <v>2</v>
      </c>
      <c r="I24" s="11">
        <v>14</v>
      </c>
      <c r="J24" s="11">
        <v>12</v>
      </c>
      <c r="K24" s="11">
        <v>6</v>
      </c>
      <c r="L24" s="11">
        <v>10</v>
      </c>
      <c r="M24" s="11">
        <v>2</v>
      </c>
      <c r="N24" s="20">
        <f t="shared" si="0"/>
        <v>0.4375</v>
      </c>
      <c r="O24" s="20">
        <f t="shared" si="1"/>
        <v>0.78125</v>
      </c>
      <c r="P24" s="11">
        <v>0.438</v>
      </c>
      <c r="Q24" s="11">
        <v>0.65600000000000003</v>
      </c>
    </row>
    <row r="25" spans="1:17" ht="39" customHeight="1" x14ac:dyDescent="0.3">
      <c r="A25" s="11"/>
      <c r="B25" s="11" t="s">
        <v>71</v>
      </c>
      <c r="C25" s="18">
        <v>46215</v>
      </c>
      <c r="D25" s="11">
        <v>28</v>
      </c>
      <c r="E25" s="11">
        <v>6</v>
      </c>
      <c r="F25" s="11">
        <v>2</v>
      </c>
      <c r="G25" s="11">
        <v>0</v>
      </c>
      <c r="H25" s="11">
        <v>3</v>
      </c>
      <c r="I25" s="11">
        <v>11</v>
      </c>
      <c r="J25" s="11">
        <v>10</v>
      </c>
      <c r="K25" s="5">
        <v>8</v>
      </c>
      <c r="L25" s="5">
        <v>8</v>
      </c>
      <c r="M25" s="5">
        <v>1</v>
      </c>
      <c r="N25" s="20">
        <f t="shared" si="0"/>
        <v>0.39285714285714285</v>
      </c>
      <c r="O25" s="20">
        <f t="shared" si="1"/>
        <v>0.7857142857142857</v>
      </c>
      <c r="P25" s="5">
        <v>0.39300000000000002</v>
      </c>
      <c r="Q25" s="5">
        <v>0.67900000000000005</v>
      </c>
    </row>
    <row r="26" spans="1:17" ht="39" customHeight="1" x14ac:dyDescent="0.3">
      <c r="A26" s="11"/>
      <c r="B26" s="11" t="s">
        <v>70</v>
      </c>
      <c r="C26" s="18">
        <v>46246</v>
      </c>
      <c r="D26" s="11">
        <v>32</v>
      </c>
      <c r="E26" s="11">
        <v>8</v>
      </c>
      <c r="F26" s="11">
        <v>3</v>
      </c>
      <c r="G26" s="11">
        <v>1</v>
      </c>
      <c r="H26" s="11">
        <v>2</v>
      </c>
      <c r="I26" s="11">
        <v>14</v>
      </c>
      <c r="J26" s="11">
        <v>12</v>
      </c>
      <c r="K26" s="11">
        <v>6</v>
      </c>
      <c r="L26" s="11">
        <v>10</v>
      </c>
      <c r="M26" s="11">
        <v>2</v>
      </c>
      <c r="N26" s="20">
        <f t="shared" si="0"/>
        <v>0.4375</v>
      </c>
      <c r="O26" s="20">
        <f t="shared" si="1"/>
        <v>0.78125</v>
      </c>
      <c r="P26" s="11">
        <v>0.438</v>
      </c>
      <c r="Q26" s="11">
        <v>0.65600000000000003</v>
      </c>
    </row>
    <row r="27" spans="1:17" ht="39" customHeight="1" x14ac:dyDescent="0.3">
      <c r="A27" s="11"/>
      <c r="B27" s="11" t="s">
        <v>71</v>
      </c>
      <c r="C27" s="18">
        <v>46215</v>
      </c>
      <c r="D27" s="11">
        <v>28</v>
      </c>
      <c r="E27" s="11">
        <v>6</v>
      </c>
      <c r="F27" s="11">
        <v>2</v>
      </c>
      <c r="G27" s="11">
        <v>0</v>
      </c>
      <c r="H27" s="11">
        <v>3</v>
      </c>
      <c r="I27" s="11">
        <v>11</v>
      </c>
      <c r="J27" s="11">
        <v>10</v>
      </c>
      <c r="K27" s="5">
        <v>8</v>
      </c>
      <c r="L27" s="5">
        <v>8</v>
      </c>
      <c r="M27" s="5">
        <v>1</v>
      </c>
      <c r="N27" s="20">
        <f t="shared" si="0"/>
        <v>0.39285714285714285</v>
      </c>
      <c r="O27" s="20">
        <f t="shared" si="1"/>
        <v>0.7857142857142857</v>
      </c>
      <c r="P27" s="5">
        <v>0.39300000000000002</v>
      </c>
      <c r="Q27" s="5">
        <v>0.67900000000000005</v>
      </c>
    </row>
    <row r="28" spans="1:17" ht="39" customHeight="1" x14ac:dyDescent="0.3">
      <c r="A28" s="11"/>
      <c r="B28" s="11" t="s">
        <v>70</v>
      </c>
      <c r="C28" s="18">
        <v>46246</v>
      </c>
      <c r="D28" s="11">
        <v>32</v>
      </c>
      <c r="E28" s="11">
        <v>8</v>
      </c>
      <c r="F28" s="11">
        <v>3</v>
      </c>
      <c r="G28" s="11">
        <v>1</v>
      </c>
      <c r="H28" s="11">
        <v>2</v>
      </c>
      <c r="I28" s="11">
        <v>14</v>
      </c>
      <c r="J28" s="11">
        <v>12</v>
      </c>
      <c r="K28" s="11">
        <v>6</v>
      </c>
      <c r="L28" s="11">
        <v>10</v>
      </c>
      <c r="M28" s="11">
        <v>2</v>
      </c>
      <c r="N28" s="20">
        <f t="shared" si="0"/>
        <v>0.4375</v>
      </c>
      <c r="O28" s="20">
        <f t="shared" si="1"/>
        <v>0.78125</v>
      </c>
      <c r="P28" s="11">
        <v>0.438</v>
      </c>
      <c r="Q28" s="11">
        <v>0.65600000000000003</v>
      </c>
    </row>
    <row r="29" spans="1:17" ht="39" customHeight="1" x14ac:dyDescent="0.3">
      <c r="A29" s="11"/>
      <c r="B29" s="11" t="s">
        <v>71</v>
      </c>
      <c r="C29" s="18">
        <v>46215</v>
      </c>
      <c r="D29" s="11">
        <v>28</v>
      </c>
      <c r="E29" s="11">
        <v>6</v>
      </c>
      <c r="F29" s="11">
        <v>2</v>
      </c>
      <c r="G29" s="11">
        <v>0</v>
      </c>
      <c r="H29" s="11">
        <v>3</v>
      </c>
      <c r="I29" s="11">
        <v>11</v>
      </c>
      <c r="J29" s="11">
        <v>10</v>
      </c>
      <c r="K29" s="5">
        <v>8</v>
      </c>
      <c r="L29" s="5">
        <v>8</v>
      </c>
      <c r="M29" s="5">
        <v>1</v>
      </c>
      <c r="N29" s="20">
        <f t="shared" si="0"/>
        <v>0.39285714285714285</v>
      </c>
      <c r="O29" s="20">
        <f t="shared" si="1"/>
        <v>0.7857142857142857</v>
      </c>
      <c r="P29" s="5">
        <v>0.39300000000000002</v>
      </c>
      <c r="Q29" s="5">
        <v>0.67900000000000005</v>
      </c>
    </row>
    <row r="30" spans="1:17" ht="39" customHeight="1" x14ac:dyDescent="0.3">
      <c r="A30" s="11"/>
      <c r="B30" s="11" t="s">
        <v>70</v>
      </c>
      <c r="C30" s="18">
        <v>46246</v>
      </c>
      <c r="D30" s="11">
        <v>32</v>
      </c>
      <c r="E30" s="11">
        <v>8</v>
      </c>
      <c r="F30" s="11">
        <v>3</v>
      </c>
      <c r="G30" s="11">
        <v>1</v>
      </c>
      <c r="H30" s="11">
        <v>2</v>
      </c>
      <c r="I30" s="11">
        <v>14</v>
      </c>
      <c r="J30" s="11">
        <v>12</v>
      </c>
      <c r="K30" s="11">
        <v>6</v>
      </c>
      <c r="L30" s="11">
        <v>10</v>
      </c>
      <c r="M30" s="11">
        <v>2</v>
      </c>
      <c r="N30" s="20">
        <f t="shared" si="0"/>
        <v>0.4375</v>
      </c>
      <c r="O30" s="20">
        <f t="shared" si="1"/>
        <v>0.78125</v>
      </c>
      <c r="P30" s="11">
        <v>0.438</v>
      </c>
      <c r="Q30" s="11">
        <v>0.65600000000000003</v>
      </c>
    </row>
    <row r="31" spans="1:17" ht="39" customHeight="1" x14ac:dyDescent="0.3">
      <c r="A31" s="11"/>
      <c r="B31" s="11" t="s">
        <v>71</v>
      </c>
      <c r="C31" s="18">
        <v>46215</v>
      </c>
      <c r="D31" s="11">
        <v>28</v>
      </c>
      <c r="E31" s="11">
        <v>6</v>
      </c>
      <c r="F31" s="11">
        <v>2</v>
      </c>
      <c r="G31" s="11">
        <v>0</v>
      </c>
      <c r="H31" s="11">
        <v>3</v>
      </c>
      <c r="I31" s="11">
        <v>11</v>
      </c>
      <c r="J31" s="11">
        <v>10</v>
      </c>
      <c r="K31" s="5">
        <v>8</v>
      </c>
      <c r="L31" s="5">
        <v>8</v>
      </c>
      <c r="M31" s="5">
        <v>1</v>
      </c>
      <c r="N31" s="20">
        <f t="shared" si="0"/>
        <v>0.39285714285714285</v>
      </c>
      <c r="O31" s="20">
        <f t="shared" si="1"/>
        <v>0.7857142857142857</v>
      </c>
      <c r="P31" s="5">
        <v>0.39300000000000002</v>
      </c>
      <c r="Q31" s="5">
        <v>0.67900000000000005</v>
      </c>
    </row>
    <row r="32" spans="1:17" ht="39" customHeight="1" x14ac:dyDescent="0.3">
      <c r="A32" s="11"/>
      <c r="B32" s="11" t="s">
        <v>70</v>
      </c>
      <c r="C32" s="18">
        <v>46246</v>
      </c>
      <c r="D32" s="11">
        <v>32</v>
      </c>
      <c r="E32" s="11">
        <v>8</v>
      </c>
      <c r="F32" s="11">
        <v>3</v>
      </c>
      <c r="G32" s="11">
        <v>1</v>
      </c>
      <c r="H32" s="11">
        <v>2</v>
      </c>
      <c r="I32" s="11">
        <v>14</v>
      </c>
      <c r="J32" s="11">
        <v>12</v>
      </c>
      <c r="K32" s="11">
        <v>6</v>
      </c>
      <c r="L32" s="11">
        <v>10</v>
      </c>
      <c r="M32" s="11">
        <v>2</v>
      </c>
      <c r="N32" s="20">
        <f t="shared" si="0"/>
        <v>0.4375</v>
      </c>
      <c r="O32" s="20">
        <f t="shared" si="1"/>
        <v>0.78125</v>
      </c>
      <c r="P32" s="11">
        <v>0.438</v>
      </c>
      <c r="Q32" s="11">
        <v>0.65600000000000003</v>
      </c>
    </row>
    <row r="33" spans="1:17" ht="39" customHeight="1" x14ac:dyDescent="0.3">
      <c r="A33" s="11"/>
      <c r="B33" s="11" t="s">
        <v>71</v>
      </c>
      <c r="C33" s="18">
        <v>46215</v>
      </c>
      <c r="D33" s="11">
        <v>28</v>
      </c>
      <c r="E33" s="11">
        <v>6</v>
      </c>
      <c r="F33" s="11">
        <v>2</v>
      </c>
      <c r="G33" s="11">
        <v>0</v>
      </c>
      <c r="H33" s="11">
        <v>3</v>
      </c>
      <c r="I33" s="11">
        <v>11</v>
      </c>
      <c r="J33" s="11">
        <v>10</v>
      </c>
      <c r="K33" s="5">
        <v>8</v>
      </c>
      <c r="L33" s="5">
        <v>8</v>
      </c>
      <c r="M33" s="5">
        <v>1</v>
      </c>
      <c r="N33" s="20">
        <f t="shared" si="0"/>
        <v>0.39285714285714285</v>
      </c>
      <c r="O33" s="20">
        <f t="shared" si="1"/>
        <v>0.7857142857142857</v>
      </c>
      <c r="P33" s="5">
        <v>0.39300000000000002</v>
      </c>
      <c r="Q33" s="5">
        <v>0.67900000000000005</v>
      </c>
    </row>
    <row r="34" spans="1:17" ht="39" customHeight="1" x14ac:dyDescent="0.3">
      <c r="A34" s="11"/>
      <c r="B34" s="11" t="s">
        <v>70</v>
      </c>
      <c r="C34" s="18">
        <v>46246</v>
      </c>
      <c r="D34" s="11">
        <v>32</v>
      </c>
      <c r="E34" s="11">
        <v>8</v>
      </c>
      <c r="F34" s="11">
        <v>3</v>
      </c>
      <c r="G34" s="11">
        <v>1</v>
      </c>
      <c r="H34" s="11">
        <v>2</v>
      </c>
      <c r="I34" s="11">
        <v>14</v>
      </c>
      <c r="J34" s="11">
        <v>12</v>
      </c>
      <c r="K34" s="11">
        <v>6</v>
      </c>
      <c r="L34" s="11">
        <v>10</v>
      </c>
      <c r="M34" s="11">
        <v>2</v>
      </c>
      <c r="N34" s="20">
        <f t="shared" si="0"/>
        <v>0.4375</v>
      </c>
      <c r="O34" s="20">
        <f t="shared" si="1"/>
        <v>0.78125</v>
      </c>
      <c r="P34" s="11">
        <v>0.438</v>
      </c>
      <c r="Q34" s="11">
        <v>0.65600000000000003</v>
      </c>
    </row>
    <row r="35" spans="1:17" ht="39" customHeight="1" x14ac:dyDescent="0.3">
      <c r="A35" s="11"/>
      <c r="B35" s="11" t="s">
        <v>71</v>
      </c>
      <c r="C35" s="18">
        <v>46215</v>
      </c>
      <c r="D35" s="11">
        <v>28</v>
      </c>
      <c r="E35" s="11">
        <v>6</v>
      </c>
      <c r="F35" s="11">
        <v>2</v>
      </c>
      <c r="G35" s="11">
        <v>0</v>
      </c>
      <c r="H35" s="11">
        <v>3</v>
      </c>
      <c r="I35" s="11">
        <v>11</v>
      </c>
      <c r="J35" s="11">
        <v>10</v>
      </c>
      <c r="K35" s="5">
        <v>8</v>
      </c>
      <c r="L35" s="5">
        <v>8</v>
      </c>
      <c r="M35" s="5">
        <v>1</v>
      </c>
      <c r="N35" s="20">
        <f t="shared" si="0"/>
        <v>0.39285714285714285</v>
      </c>
      <c r="O35" s="20">
        <f t="shared" si="1"/>
        <v>0.7857142857142857</v>
      </c>
      <c r="P35" s="5">
        <v>0.39300000000000002</v>
      </c>
      <c r="Q35" s="5">
        <v>0.67900000000000005</v>
      </c>
    </row>
    <row r="36" spans="1:17" ht="39" customHeight="1" x14ac:dyDescent="0.3">
      <c r="A36" s="11"/>
      <c r="B36" s="11" t="s">
        <v>70</v>
      </c>
      <c r="C36" s="18">
        <v>46246</v>
      </c>
      <c r="D36" s="11">
        <v>32</v>
      </c>
      <c r="E36" s="11">
        <v>8</v>
      </c>
      <c r="F36" s="11">
        <v>3</v>
      </c>
      <c r="G36" s="11">
        <v>1</v>
      </c>
      <c r="H36" s="11">
        <v>2</v>
      </c>
      <c r="I36" s="11">
        <v>14</v>
      </c>
      <c r="J36" s="11">
        <v>12</v>
      </c>
      <c r="K36" s="11">
        <v>6</v>
      </c>
      <c r="L36" s="11">
        <v>10</v>
      </c>
      <c r="M36" s="11">
        <v>2</v>
      </c>
      <c r="N36" s="20">
        <f t="shared" si="0"/>
        <v>0.4375</v>
      </c>
      <c r="O36" s="20">
        <f t="shared" si="1"/>
        <v>0.78125</v>
      </c>
      <c r="P36" s="11">
        <v>0.438</v>
      </c>
      <c r="Q36" s="11">
        <v>0.65600000000000003</v>
      </c>
    </row>
    <row r="37" spans="1:17" ht="39" customHeight="1" x14ac:dyDescent="0.3">
      <c r="A37" s="11"/>
      <c r="B37" s="11" t="s">
        <v>71</v>
      </c>
      <c r="C37" s="18">
        <v>46215</v>
      </c>
      <c r="D37" s="11">
        <v>28</v>
      </c>
      <c r="E37" s="11">
        <v>6</v>
      </c>
      <c r="F37" s="11">
        <v>2</v>
      </c>
      <c r="G37" s="11">
        <v>0</v>
      </c>
      <c r="H37" s="11">
        <v>3</v>
      </c>
      <c r="I37" s="11">
        <v>11</v>
      </c>
      <c r="J37" s="11">
        <v>10</v>
      </c>
      <c r="K37" s="5">
        <v>8</v>
      </c>
      <c r="L37" s="5">
        <v>8</v>
      </c>
      <c r="M37" s="5">
        <v>1</v>
      </c>
      <c r="N37" s="20">
        <f t="shared" si="0"/>
        <v>0.39285714285714285</v>
      </c>
      <c r="O37" s="20">
        <f t="shared" si="1"/>
        <v>0.7857142857142857</v>
      </c>
      <c r="P37" s="5">
        <v>0.39300000000000002</v>
      </c>
      <c r="Q37" s="5">
        <v>0.67900000000000005</v>
      </c>
    </row>
    <row r="39" spans="1:17" s="19" customFormat="1" ht="24" customHeight="1" x14ac:dyDescent="0.3">
      <c r="A39" s="37" t="s">
        <v>72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1:17" s="19" customFormat="1" ht="24" customHeight="1" x14ac:dyDescent="0.3">
      <c r="A40" s="37" t="s">
        <v>73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2" spans="1:17" s="19" customFormat="1" ht="21" x14ac:dyDescent="0.3">
      <c r="A42" s="37" t="s">
        <v>75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spans="1:17" s="19" customFormat="1" ht="21" x14ac:dyDescent="0.3">
      <c r="A43" s="37" t="s">
        <v>77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1:17" s="19" customFormat="1" ht="22.5" x14ac:dyDescent="0.3">
      <c r="A44" s="38" t="s">
        <v>78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1:17" s="19" customFormat="1" ht="21" x14ac:dyDescent="0.3">
      <c r="A45" s="37" t="s">
        <v>76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1:17" s="19" customFormat="1" ht="21" x14ac:dyDescent="0.3">
      <c r="A46" s="37" t="s">
        <v>79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</row>
    <row r="47" spans="1:17" s="19" customFormat="1" ht="21" x14ac:dyDescent="0.3">
      <c r="A47" s="37" t="s">
        <v>80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</row>
    <row r="48" spans="1:17" s="19" customFormat="1" ht="21" x14ac:dyDescent="0.3">
      <c r="A48" s="37" t="s">
        <v>81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</row>
    <row r="49" spans="1:15" s="19" customFormat="1" ht="21" x14ac:dyDescent="0.3">
      <c r="A49" s="37" t="s">
        <v>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</row>
  </sheetData>
  <mergeCells count="11">
    <mergeCell ref="A44:O44"/>
    <mergeCell ref="A4:O4"/>
    <mergeCell ref="A39:O39"/>
    <mergeCell ref="A40:O40"/>
    <mergeCell ref="A42:O42"/>
    <mergeCell ref="A43:O43"/>
    <mergeCell ref="A45:O45"/>
    <mergeCell ref="A46:O46"/>
    <mergeCell ref="A47:O47"/>
    <mergeCell ref="A48:O48"/>
    <mergeCell ref="A49:O4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G8" sqref="G8"/>
    </sheetView>
  </sheetViews>
  <sheetFormatPr defaultRowHeight="16.5" x14ac:dyDescent="0.3"/>
  <cols>
    <col min="1" max="1" width="25.125" customWidth="1"/>
    <col min="2" max="2" width="31.875" customWidth="1"/>
    <col min="3" max="3" width="7.875" bestFit="1" customWidth="1"/>
  </cols>
  <sheetData>
    <row r="1" spans="1:3" ht="32.25" customHeight="1" x14ac:dyDescent="0.3">
      <c r="A1" s="39" t="s">
        <v>110</v>
      </c>
      <c r="B1" s="39"/>
      <c r="C1" s="39"/>
    </row>
    <row r="2" spans="1:3" ht="26.25" customHeight="1" x14ac:dyDescent="0.3">
      <c r="A2" s="8" t="s">
        <v>83</v>
      </c>
    </row>
    <row r="3" spans="1:3" ht="23.25" x14ac:dyDescent="0.3">
      <c r="A3" s="13" t="s">
        <v>84</v>
      </c>
      <c r="B3" s="13" t="s">
        <v>85</v>
      </c>
      <c r="C3" s="13" t="s">
        <v>86</v>
      </c>
    </row>
    <row r="4" spans="1:3" ht="31.5" customHeight="1" x14ac:dyDescent="0.3">
      <c r="A4" s="10" t="s">
        <v>87</v>
      </c>
      <c r="B4" s="11" t="s">
        <v>88</v>
      </c>
      <c r="C4" s="11" t="s">
        <v>89</v>
      </c>
    </row>
    <row r="5" spans="1:3" ht="31.5" customHeight="1" x14ac:dyDescent="0.3">
      <c r="A5" s="10" t="s">
        <v>90</v>
      </c>
      <c r="B5" s="11" t="s">
        <v>91</v>
      </c>
      <c r="C5" s="11" t="s">
        <v>89</v>
      </c>
    </row>
    <row r="6" spans="1:3" ht="31.5" customHeight="1" x14ac:dyDescent="0.3">
      <c r="A6" s="10" t="s">
        <v>92</v>
      </c>
      <c r="B6" s="11" t="s">
        <v>93</v>
      </c>
      <c r="C6" s="11" t="s">
        <v>89</v>
      </c>
    </row>
    <row r="7" spans="1:3" ht="31.5" customHeight="1" x14ac:dyDescent="0.3">
      <c r="A7" s="10" t="s">
        <v>94</v>
      </c>
      <c r="B7" s="11" t="s">
        <v>95</v>
      </c>
      <c r="C7" s="11" t="s">
        <v>89</v>
      </c>
    </row>
    <row r="8" spans="1:3" ht="31.5" customHeight="1" x14ac:dyDescent="0.3">
      <c r="A8" s="10" t="s">
        <v>96</v>
      </c>
      <c r="B8" s="11" t="s">
        <v>97</v>
      </c>
      <c r="C8" s="11" t="s">
        <v>89</v>
      </c>
    </row>
    <row r="9" spans="1:3" ht="31.5" customHeight="1" x14ac:dyDescent="0.3">
      <c r="A9" s="10" t="s">
        <v>98</v>
      </c>
      <c r="B9" s="11" t="s">
        <v>99</v>
      </c>
      <c r="C9" s="11" t="s">
        <v>89</v>
      </c>
    </row>
    <row r="10" spans="1:3" ht="31.5" customHeight="1" x14ac:dyDescent="0.3">
      <c r="A10" s="10" t="s">
        <v>100</v>
      </c>
      <c r="B10" s="11" t="s">
        <v>101</v>
      </c>
      <c r="C10" s="11" t="s">
        <v>89</v>
      </c>
    </row>
    <row r="11" spans="1:3" ht="29.25" customHeight="1" x14ac:dyDescent="0.3">
      <c r="A11" s="8" t="s">
        <v>102</v>
      </c>
    </row>
    <row r="12" spans="1:3" ht="29.25" customHeight="1" x14ac:dyDescent="0.3">
      <c r="A12" s="40" t="s">
        <v>103</v>
      </c>
      <c r="B12" s="40"/>
    </row>
    <row r="13" spans="1:3" ht="29.25" customHeight="1" x14ac:dyDescent="0.3">
      <c r="A13" s="33" t="s">
        <v>104</v>
      </c>
      <c r="B13" s="33"/>
    </row>
    <row r="14" spans="1:3" ht="29.25" customHeight="1" x14ac:dyDescent="0.3">
      <c r="A14" s="33" t="s">
        <v>105</v>
      </c>
      <c r="B14" s="33"/>
    </row>
    <row r="15" spans="1:3" ht="29.25" customHeight="1" x14ac:dyDescent="0.3">
      <c r="A15" s="40" t="s">
        <v>106</v>
      </c>
      <c r="B15" s="40"/>
    </row>
    <row r="16" spans="1:3" ht="29.25" customHeight="1" x14ac:dyDescent="0.3">
      <c r="A16" s="33" t="s">
        <v>107</v>
      </c>
      <c r="B16" s="33"/>
    </row>
    <row r="17" spans="1:2" ht="29.25" customHeight="1" x14ac:dyDescent="0.3">
      <c r="A17" s="33" t="s">
        <v>108</v>
      </c>
      <c r="B17" s="33"/>
    </row>
    <row r="18" spans="1:2" ht="29.25" customHeight="1" x14ac:dyDescent="0.3">
      <c r="A18" s="33" t="s">
        <v>109</v>
      </c>
      <c r="B18" s="33"/>
    </row>
  </sheetData>
  <mergeCells count="8">
    <mergeCell ref="A18:B18"/>
    <mergeCell ref="A12:B12"/>
    <mergeCell ref="A15:B15"/>
    <mergeCell ref="A1:C1"/>
    <mergeCell ref="A13:B13"/>
    <mergeCell ref="A14:B14"/>
    <mergeCell ref="A16:B16"/>
    <mergeCell ref="A17:B17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sqref="A1:A20"/>
    </sheetView>
  </sheetViews>
  <sheetFormatPr defaultRowHeight="16.5" x14ac:dyDescent="0.3"/>
  <sheetData>
    <row r="1" spans="1:1" x14ac:dyDescent="0.3">
      <c r="A1" t="s">
        <v>111</v>
      </c>
    </row>
    <row r="3" spans="1:1" x14ac:dyDescent="0.3">
      <c r="A3" t="s">
        <v>112</v>
      </c>
    </row>
    <row r="4" spans="1:1" x14ac:dyDescent="0.3">
      <c r="A4" t="s">
        <v>113</v>
      </c>
    </row>
    <row r="6" spans="1:1" x14ac:dyDescent="0.3">
      <c r="A6" t="s">
        <v>114</v>
      </c>
    </row>
    <row r="7" spans="1:1" x14ac:dyDescent="0.3">
      <c r="A7" t="s">
        <v>115</v>
      </c>
    </row>
    <row r="8" spans="1:1" x14ac:dyDescent="0.3">
      <c r="A8" t="s">
        <v>116</v>
      </c>
    </row>
    <row r="9" spans="1:1" x14ac:dyDescent="0.3">
      <c r="A9" t="s">
        <v>117</v>
      </c>
    </row>
    <row r="11" spans="1:1" x14ac:dyDescent="0.3">
      <c r="A11" t="s">
        <v>118</v>
      </c>
    </row>
    <row r="12" spans="1:1" x14ac:dyDescent="0.3">
      <c r="A12" t="s">
        <v>119</v>
      </c>
    </row>
    <row r="13" spans="1:1" x14ac:dyDescent="0.3">
      <c r="A13" t="s">
        <v>120</v>
      </c>
    </row>
    <row r="14" spans="1:1" x14ac:dyDescent="0.3">
      <c r="A14" t="s">
        <v>121</v>
      </c>
    </row>
    <row r="15" spans="1:1" x14ac:dyDescent="0.3">
      <c r="A15" t="s">
        <v>122</v>
      </c>
    </row>
    <row r="17" spans="1:1" x14ac:dyDescent="0.3">
      <c r="A17" t="s">
        <v>123</v>
      </c>
    </row>
    <row r="19" spans="1:1" x14ac:dyDescent="0.3">
      <c r="A19" t="s">
        <v>124</v>
      </c>
    </row>
    <row r="20" spans="1:1" x14ac:dyDescent="0.3">
      <c r="A20" t="s">
        <v>125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workbookViewId="0">
      <selection activeCell="T40" sqref="T40"/>
    </sheetView>
  </sheetViews>
  <sheetFormatPr defaultRowHeight="16.5" x14ac:dyDescent="0.3"/>
  <sheetData>
    <row r="1" spans="1:1" x14ac:dyDescent="0.3">
      <c r="A1" t="s">
        <v>126</v>
      </c>
    </row>
    <row r="3" spans="1:1" x14ac:dyDescent="0.3">
      <c r="A3" t="s">
        <v>127</v>
      </c>
    </row>
    <row r="4" spans="1:1" x14ac:dyDescent="0.3">
      <c r="A4" t="s">
        <v>128</v>
      </c>
    </row>
    <row r="5" spans="1:1" x14ac:dyDescent="0.3">
      <c r="A5" t="s">
        <v>129</v>
      </c>
    </row>
    <row r="7" spans="1:1" x14ac:dyDescent="0.3">
      <c r="A7" t="s">
        <v>130</v>
      </c>
    </row>
    <row r="9" spans="1:1" x14ac:dyDescent="0.3">
      <c r="A9" t="s">
        <v>114</v>
      </c>
    </row>
    <row r="10" spans="1:1" x14ac:dyDescent="0.3">
      <c r="A10" t="s">
        <v>131</v>
      </c>
    </row>
    <row r="11" spans="1:1" x14ac:dyDescent="0.3">
      <c r="A11" t="s">
        <v>132</v>
      </c>
    </row>
    <row r="13" spans="1:1" x14ac:dyDescent="0.3">
      <c r="A13" t="s">
        <v>133</v>
      </c>
    </row>
    <row r="14" spans="1:1" x14ac:dyDescent="0.3">
      <c r="A14" t="s">
        <v>134</v>
      </c>
    </row>
    <row r="16" spans="1:1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4" spans="1:1" x14ac:dyDescent="0.3">
      <c r="A24" t="s">
        <v>142</v>
      </c>
    </row>
    <row r="25" spans="1:1" ht="297" x14ac:dyDescent="0.3">
      <c r="A25" s="7" t="s">
        <v>143</v>
      </c>
    </row>
    <row r="27" spans="1:1" x14ac:dyDescent="0.3">
      <c r="A27" t="s">
        <v>130</v>
      </c>
    </row>
    <row r="29" spans="1:1" x14ac:dyDescent="0.3">
      <c r="A29" t="s">
        <v>144</v>
      </c>
    </row>
    <row r="30" spans="1:1" x14ac:dyDescent="0.3">
      <c r="A30" t="s">
        <v>145</v>
      </c>
    </row>
    <row r="31" spans="1:1" x14ac:dyDescent="0.3">
      <c r="A31" t="s">
        <v>146</v>
      </c>
    </row>
    <row r="32" spans="1:1" x14ac:dyDescent="0.3">
      <c r="A32" t="s">
        <v>147</v>
      </c>
    </row>
    <row r="33" spans="1:1" x14ac:dyDescent="0.3">
      <c r="A33" t="s">
        <v>148</v>
      </c>
    </row>
    <row r="35" spans="1:1" x14ac:dyDescent="0.3">
      <c r="A35" t="s">
        <v>149</v>
      </c>
    </row>
    <row r="36" spans="1:1" x14ac:dyDescent="0.3">
      <c r="A36" t="s">
        <v>150</v>
      </c>
    </row>
    <row r="38" spans="1:1" x14ac:dyDescent="0.3">
      <c r="A38" t="s">
        <v>151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경기 하이라이트 &amp; 특별기록</vt:lpstr>
      <vt:lpstr>경기스코어보드</vt:lpstr>
      <vt:lpstr>팀별 타격기록지_1팀</vt:lpstr>
      <vt:lpstr>팀별 타격기록지_2팀</vt:lpstr>
      <vt:lpstr>개인별 시즌 누적 기록(예)</vt:lpstr>
      <vt:lpstr>경기운영 체크리스트</vt:lpstr>
      <vt:lpstr>sns 공유용 메세지</vt:lpstr>
      <vt:lpstr>게시판용 정기모임결과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주호이</dc:creator>
  <cp:lastModifiedBy>주호이</cp:lastModifiedBy>
  <dcterms:created xsi:type="dcterms:W3CDTF">2026-05-17T06:08:38Z</dcterms:created>
  <dcterms:modified xsi:type="dcterms:W3CDTF">2026-09-13T11:30:24Z</dcterms:modified>
</cp:coreProperties>
</file>