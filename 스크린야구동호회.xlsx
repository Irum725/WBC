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AppDeloper\스크린야구동호회\"/>
    </mc:Choice>
  </mc:AlternateContent>
  <bookViews>
    <workbookView xWindow="0" yWindow="0" windowWidth="38400" windowHeight="20715"/>
  </bookViews>
  <sheets>
    <sheet name="26-9" sheetId="32" r:id="rId1"/>
  </sheets>
  <definedNames>
    <definedName name="_xlnm._FilterDatabase" localSheetId="0" hidden="1">'26-9'!$A$2:$G$2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1" i="32" l="1"/>
  <c r="F31" i="32" l="1"/>
  <c r="G9" i="32"/>
  <c r="G10" i="32" s="1"/>
  <c r="G11" i="32" s="1"/>
  <c r="G12" i="32" s="1"/>
  <c r="G13" i="32" s="1"/>
  <c r="G14" i="32" s="1"/>
  <c r="G15" i="32" s="1"/>
  <c r="G16" i="32" s="1"/>
  <c r="G17" i="32" s="1"/>
  <c r="G18" i="32" s="1"/>
  <c r="G19" i="32" s="1"/>
  <c r="G20" i="32" s="1"/>
  <c r="G21" i="32" s="1"/>
  <c r="G22" i="32" s="1"/>
  <c r="G23" i="32" s="1"/>
  <c r="G24" i="32" s="1"/>
  <c r="G25" i="32" s="1"/>
  <c r="G26" i="32" s="1"/>
  <c r="G27" i="32" s="1"/>
  <c r="G28" i="32" s="1"/>
  <c r="G29" i="32" s="1"/>
  <c r="G30" i="32" s="1"/>
  <c r="G3" i="32"/>
  <c r="G31" i="32" l="1"/>
  <c r="F32" i="32" l="1"/>
  <c r="E32" i="32" l="1"/>
  <c r="G32" i="32" s="1"/>
</calcChain>
</file>

<file path=xl/sharedStrings.xml><?xml version="1.0" encoding="utf-8"?>
<sst xmlns="http://schemas.openxmlformats.org/spreadsheetml/2006/main" count="46" uniqueCount="35">
  <si>
    <t>수입</t>
    <phoneticPr fontId="2" type="noConversion"/>
  </si>
  <si>
    <t>지출</t>
    <phoneticPr fontId="2" type="noConversion"/>
  </si>
  <si>
    <t>항목</t>
    <phoneticPr fontId="2" type="noConversion"/>
  </si>
  <si>
    <t>No</t>
    <phoneticPr fontId="2" type="noConversion"/>
  </si>
  <si>
    <t>월일</t>
    <phoneticPr fontId="2" type="noConversion"/>
  </si>
  <si>
    <t>계정</t>
    <phoneticPr fontId="2" type="noConversion"/>
  </si>
  <si>
    <t>잔액</t>
    <phoneticPr fontId="2" type="noConversion"/>
  </si>
  <si>
    <t>누계</t>
    <phoneticPr fontId="2" type="noConversion"/>
  </si>
  <si>
    <t>월계</t>
    <phoneticPr fontId="2" type="noConversion"/>
  </si>
  <si>
    <t>지원</t>
    <phoneticPr fontId="2" type="noConversion"/>
  </si>
  <si>
    <t>야구 배팅장갑구매(4ea)</t>
    <phoneticPr fontId="2" type="noConversion"/>
  </si>
  <si>
    <t>찬조</t>
    <phoneticPr fontId="2" type="noConversion"/>
  </si>
  <si>
    <t>정재홍장로</t>
    <phoneticPr fontId="2" type="noConversion"/>
  </si>
  <si>
    <t>모임회비</t>
    <phoneticPr fontId="2" type="noConversion"/>
  </si>
  <si>
    <t>김신광목사</t>
    <phoneticPr fontId="2" type="noConversion"/>
  </si>
  <si>
    <t>비품</t>
    <phoneticPr fontId="2" type="noConversion"/>
  </si>
  <si>
    <t>경기장</t>
    <phoneticPr fontId="2" type="noConversion"/>
  </si>
  <si>
    <t>김응관목사</t>
    <phoneticPr fontId="2" type="noConversion"/>
  </si>
  <si>
    <t>배석원장로</t>
    <phoneticPr fontId="2" type="noConversion"/>
  </si>
  <si>
    <t>박동진집사</t>
    <phoneticPr fontId="2" type="noConversion"/>
  </si>
  <si>
    <t>황주현장로</t>
    <phoneticPr fontId="2" type="noConversion"/>
  </si>
  <si>
    <t>이성수장로</t>
    <phoneticPr fontId="2" type="noConversion"/>
  </si>
  <si>
    <t>이승원집사</t>
    <phoneticPr fontId="2" type="noConversion"/>
  </si>
  <si>
    <t>김진혁집사</t>
    <phoneticPr fontId="2" type="noConversion"/>
  </si>
  <si>
    <t>김석희집사</t>
    <phoneticPr fontId="2" type="noConversion"/>
  </si>
  <si>
    <t>임명길장로</t>
    <phoneticPr fontId="2" type="noConversion"/>
  </si>
  <si>
    <t>박진우집사</t>
    <phoneticPr fontId="2" type="noConversion"/>
  </si>
  <si>
    <t>이주호집사</t>
    <phoneticPr fontId="2" type="noConversion"/>
  </si>
  <si>
    <t>야구장 사용료</t>
    <phoneticPr fontId="2" type="noConversion"/>
  </si>
  <si>
    <t>식사</t>
    <phoneticPr fontId="2" type="noConversion"/>
  </si>
  <si>
    <t>뼈해장국 (12명)</t>
    <phoneticPr fontId="2" type="noConversion"/>
  </si>
  <si>
    <t>문화선교위원회 지원</t>
    <phoneticPr fontId="2" type="noConversion"/>
  </si>
  <si>
    <t>* 회비관리 계좌: 기업은행123-021486-02-026(이주호)</t>
    <phoneticPr fontId="2" type="noConversion"/>
  </si>
  <si>
    <t>2026년 9월</t>
    <phoneticPr fontId="2" type="noConversion"/>
  </si>
  <si>
    <t>스크린야구동호회 회계내역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</si>
</sst>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m&quot;/&quot;d;@"/>
  </numFmts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b/>
      <sz val="11"/>
      <color rgb="FF0033CC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/>
  </cellStyleXfs>
  <cellXfs count="31">
    <xf numFmtId="0" fontId="0" fillId="0" borderId="0" xfId="0">
      <alignment vertical="center"/>
    </xf>
    <xf numFmtId="41" fontId="3" fillId="0" borderId="1" xfId="1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41" fontId="5" fillId="0" borderId="1" xfId="1" applyFont="1" applyBorder="1">
      <alignment vertical="center"/>
    </xf>
    <xf numFmtId="41" fontId="6" fillId="0" borderId="1" xfId="1" applyFont="1" applyBorder="1">
      <alignment vertical="center"/>
    </xf>
    <xf numFmtId="176" fontId="5" fillId="0" borderId="0" xfId="0" applyNumberFormat="1" applyFont="1" applyAlignment="1">
      <alignment horizontal="center" vertical="center"/>
    </xf>
    <xf numFmtId="41" fontId="5" fillId="0" borderId="0" xfId="1" applyFont="1">
      <alignment vertical="center"/>
    </xf>
    <xf numFmtId="41" fontId="6" fillId="0" borderId="0" xfId="1" applyFont="1">
      <alignment vertical="center"/>
    </xf>
    <xf numFmtId="0" fontId="9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/>
    </xf>
    <xf numFmtId="41" fontId="10" fillId="0" borderId="1" xfId="1" applyFont="1" applyBorder="1">
      <alignment vertical="center"/>
    </xf>
    <xf numFmtId="41" fontId="6" fillId="2" borderId="1" xfId="1" applyFont="1" applyFill="1" applyBorder="1" applyAlignment="1">
      <alignment horizontal="center" vertical="center" shrinkToFit="1"/>
    </xf>
    <xf numFmtId="41" fontId="5" fillId="0" borderId="1" xfId="1" applyFont="1" applyBorder="1" applyAlignment="1">
      <alignment horizontal="center" vertical="center" shrinkToFit="1"/>
    </xf>
    <xf numFmtId="41" fontId="6" fillId="0" borderId="1" xfId="1" applyFont="1" applyBorder="1" applyAlignment="1">
      <alignment horizontal="center" vertical="center" shrinkToFit="1"/>
    </xf>
    <xf numFmtId="41" fontId="5" fillId="0" borderId="0" xfId="1" applyFont="1" applyAlignment="1">
      <alignment horizontal="center" vertical="center" shrinkToFit="1"/>
    </xf>
    <xf numFmtId="41" fontId="5" fillId="0" borderId="0" xfId="0" applyNumberFormat="1" applyFont="1">
      <alignment vertical="center"/>
    </xf>
    <xf numFmtId="41" fontId="5" fillId="0" borderId="1" xfId="1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5" fillId="0" borderId="1" xfId="1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 shrinkToFit="1"/>
    </xf>
    <xf numFmtId="0" fontId="5" fillId="0" borderId="1" xfId="0" applyNumberFormat="1" applyFont="1" applyBorder="1" applyAlignment="1">
      <alignment horizontal="center" vertical="center" shrinkToFit="1"/>
    </xf>
    <xf numFmtId="0" fontId="5" fillId="0" borderId="0" xfId="0" applyNumberFormat="1" applyFont="1" applyAlignment="1">
      <alignment horizontal="center" vertical="center" shrinkToFit="1"/>
    </xf>
  </cellXfs>
  <cellStyles count="3">
    <cellStyle name="쉼표 [0]" xfId="1" builtinId="6"/>
    <cellStyle name="표준" xfId="0" builtinId="0"/>
    <cellStyle name="표준 2" xfId="2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view="pageBreakPreview" zoomScaleNormal="100" zoomScaleSheetLayoutView="100" workbookViewId="0">
      <selection activeCell="I11" sqref="I11"/>
    </sheetView>
  </sheetViews>
  <sheetFormatPr defaultRowHeight="16.5"/>
  <cols>
    <col min="1" max="1" width="4" style="22" bestFit="1" customWidth="1"/>
    <col min="2" max="2" width="6.25" style="7" bestFit="1" customWidth="1"/>
    <col min="3" max="3" width="5.25" style="30" customWidth="1"/>
    <col min="4" max="4" width="25.625" style="18" customWidth="1"/>
    <col min="5" max="5" width="12.375" style="8" bestFit="1" customWidth="1"/>
    <col min="6" max="6" width="10.875" style="8" bestFit="1" customWidth="1"/>
    <col min="7" max="7" width="12.375" style="9" bestFit="1" customWidth="1"/>
    <col min="8" max="8" width="10.875" style="2" bestFit="1" customWidth="1"/>
    <col min="9" max="16384" width="9" style="2"/>
  </cols>
  <sheetData>
    <row r="1" spans="1:7" ht="29.25" customHeight="1">
      <c r="A1" s="24" t="s">
        <v>33</v>
      </c>
      <c r="B1" s="24"/>
      <c r="C1" s="24"/>
      <c r="D1" s="25" t="s">
        <v>34</v>
      </c>
      <c r="E1" s="26"/>
      <c r="F1" s="26"/>
      <c r="G1" s="27"/>
    </row>
    <row r="2" spans="1:7" s="3" customFormat="1" ht="21" customHeight="1">
      <c r="A2" s="11" t="s">
        <v>3</v>
      </c>
      <c r="B2" s="12" t="s">
        <v>4</v>
      </c>
      <c r="C2" s="28" t="s">
        <v>5</v>
      </c>
      <c r="D2" s="15" t="s">
        <v>2</v>
      </c>
      <c r="E2" s="13" t="s">
        <v>0</v>
      </c>
      <c r="F2" s="13" t="s">
        <v>1</v>
      </c>
      <c r="G2" s="13" t="s">
        <v>6</v>
      </c>
    </row>
    <row r="3" spans="1:7" ht="21" customHeight="1">
      <c r="A3" s="21">
        <v>1</v>
      </c>
      <c r="B3" s="4">
        <v>46266</v>
      </c>
      <c r="C3" s="29" t="s">
        <v>9</v>
      </c>
      <c r="D3" s="16" t="s">
        <v>31</v>
      </c>
      <c r="E3" s="5">
        <v>500000</v>
      </c>
      <c r="F3" s="5"/>
      <c r="G3" s="6">
        <f>E3-F3</f>
        <v>500000</v>
      </c>
    </row>
    <row r="4" spans="1:7" ht="21" customHeight="1">
      <c r="A4" s="21">
        <v>2</v>
      </c>
      <c r="B4" s="4">
        <v>46268</v>
      </c>
      <c r="C4" s="29" t="s">
        <v>15</v>
      </c>
      <c r="D4" s="23" t="s">
        <v>10</v>
      </c>
      <c r="E4" s="5"/>
      <c r="F4" s="5">
        <v>100000</v>
      </c>
      <c r="G4" s="6"/>
    </row>
    <row r="5" spans="1:7" ht="21" customHeight="1">
      <c r="A5" s="21">
        <v>3</v>
      </c>
      <c r="B5" s="4">
        <v>46278</v>
      </c>
      <c r="C5" s="29" t="s">
        <v>11</v>
      </c>
      <c r="D5" s="16" t="s">
        <v>12</v>
      </c>
      <c r="E5" s="5">
        <v>100000</v>
      </c>
      <c r="F5" s="5"/>
      <c r="G5" s="6"/>
    </row>
    <row r="6" spans="1:7" ht="21" customHeight="1">
      <c r="A6" s="21">
        <v>4</v>
      </c>
      <c r="B6" s="4">
        <v>46278</v>
      </c>
      <c r="C6" s="29" t="s">
        <v>13</v>
      </c>
      <c r="D6" s="16" t="s">
        <v>14</v>
      </c>
      <c r="E6" s="5">
        <v>10000</v>
      </c>
      <c r="F6" s="5"/>
      <c r="G6" s="6"/>
    </row>
    <row r="7" spans="1:7" ht="21" customHeight="1">
      <c r="A7" s="21">
        <v>5</v>
      </c>
      <c r="B7" s="4">
        <v>46278</v>
      </c>
      <c r="C7" s="29" t="s">
        <v>13</v>
      </c>
      <c r="D7" s="16" t="s">
        <v>17</v>
      </c>
      <c r="E7" s="5">
        <v>10000</v>
      </c>
      <c r="F7" s="20"/>
      <c r="G7" s="6"/>
    </row>
    <row r="8" spans="1:7" ht="21" customHeight="1">
      <c r="A8" s="21">
        <v>6</v>
      </c>
      <c r="B8" s="4">
        <v>46278</v>
      </c>
      <c r="C8" s="29" t="s">
        <v>13</v>
      </c>
      <c r="D8" s="16" t="s">
        <v>18</v>
      </c>
      <c r="E8" s="5">
        <v>10000</v>
      </c>
      <c r="F8" s="5"/>
      <c r="G8" s="14"/>
    </row>
    <row r="9" spans="1:7" ht="21" customHeight="1">
      <c r="A9" s="21">
        <v>7</v>
      </c>
      <c r="B9" s="4">
        <v>46278</v>
      </c>
      <c r="C9" s="29" t="s">
        <v>13</v>
      </c>
      <c r="D9" s="16" t="s">
        <v>19</v>
      </c>
      <c r="E9" s="5">
        <v>10000</v>
      </c>
      <c r="F9" s="5"/>
      <c r="G9" s="14">
        <f t="shared" ref="G9:G30" si="0">E9-F9+G8</f>
        <v>10000</v>
      </c>
    </row>
    <row r="10" spans="1:7" ht="21" customHeight="1">
      <c r="A10" s="21">
        <v>8</v>
      </c>
      <c r="B10" s="4">
        <v>46278</v>
      </c>
      <c r="C10" s="29" t="s">
        <v>13</v>
      </c>
      <c r="D10" s="16" t="s">
        <v>20</v>
      </c>
      <c r="E10" s="5">
        <v>10000</v>
      </c>
      <c r="F10" s="5"/>
      <c r="G10" s="14">
        <f t="shared" si="0"/>
        <v>20000</v>
      </c>
    </row>
    <row r="11" spans="1:7" ht="21" customHeight="1">
      <c r="A11" s="21">
        <v>9</v>
      </c>
      <c r="B11" s="4">
        <v>46278</v>
      </c>
      <c r="C11" s="29" t="s">
        <v>13</v>
      </c>
      <c r="D11" s="16" t="s">
        <v>21</v>
      </c>
      <c r="E11" s="5">
        <v>10000</v>
      </c>
      <c r="F11" s="5"/>
      <c r="G11" s="14">
        <f t="shared" si="0"/>
        <v>30000</v>
      </c>
    </row>
    <row r="12" spans="1:7" ht="21" customHeight="1">
      <c r="A12" s="21">
        <v>10</v>
      </c>
      <c r="B12" s="4">
        <v>46278</v>
      </c>
      <c r="C12" s="29" t="s">
        <v>13</v>
      </c>
      <c r="D12" s="16" t="s">
        <v>22</v>
      </c>
      <c r="E12" s="5">
        <v>10000</v>
      </c>
      <c r="F12" s="5"/>
      <c r="G12" s="14">
        <f t="shared" si="0"/>
        <v>40000</v>
      </c>
    </row>
    <row r="13" spans="1:7" ht="21" customHeight="1">
      <c r="A13" s="21">
        <v>11</v>
      </c>
      <c r="B13" s="4">
        <v>46278</v>
      </c>
      <c r="C13" s="29" t="s">
        <v>13</v>
      </c>
      <c r="D13" s="16" t="s">
        <v>23</v>
      </c>
      <c r="E13" s="5">
        <v>10000</v>
      </c>
      <c r="F13" s="5"/>
      <c r="G13" s="14">
        <f t="shared" si="0"/>
        <v>50000</v>
      </c>
    </row>
    <row r="14" spans="1:7" ht="21" customHeight="1">
      <c r="A14" s="21">
        <v>12</v>
      </c>
      <c r="B14" s="4">
        <v>46278</v>
      </c>
      <c r="C14" s="29" t="s">
        <v>13</v>
      </c>
      <c r="D14" s="16" t="s">
        <v>24</v>
      </c>
      <c r="E14" s="5">
        <v>10000</v>
      </c>
      <c r="F14" s="5"/>
      <c r="G14" s="14">
        <f t="shared" si="0"/>
        <v>60000</v>
      </c>
    </row>
    <row r="15" spans="1:7" ht="21" customHeight="1">
      <c r="A15" s="21">
        <v>13</v>
      </c>
      <c r="B15" s="4">
        <v>46278</v>
      </c>
      <c r="C15" s="29" t="s">
        <v>13</v>
      </c>
      <c r="D15" s="16" t="s">
        <v>25</v>
      </c>
      <c r="E15" s="5">
        <v>10000</v>
      </c>
      <c r="F15" s="5"/>
      <c r="G15" s="14">
        <f t="shared" si="0"/>
        <v>70000</v>
      </c>
    </row>
    <row r="16" spans="1:7" ht="21" customHeight="1">
      <c r="A16" s="21">
        <v>14</v>
      </c>
      <c r="B16" s="4">
        <v>46278</v>
      </c>
      <c r="C16" s="29" t="s">
        <v>13</v>
      </c>
      <c r="D16" s="16" t="s">
        <v>26</v>
      </c>
      <c r="E16" s="5">
        <v>10000</v>
      </c>
      <c r="F16" s="5"/>
      <c r="G16" s="14">
        <f t="shared" si="0"/>
        <v>80000</v>
      </c>
    </row>
    <row r="17" spans="1:8" ht="21" customHeight="1">
      <c r="A17" s="21">
        <v>15</v>
      </c>
      <c r="B17" s="4">
        <v>46278</v>
      </c>
      <c r="C17" s="29" t="s">
        <v>13</v>
      </c>
      <c r="D17" s="16" t="s">
        <v>27</v>
      </c>
      <c r="E17" s="5">
        <v>10000</v>
      </c>
      <c r="F17" s="5"/>
      <c r="G17" s="14">
        <f t="shared" si="0"/>
        <v>90000</v>
      </c>
    </row>
    <row r="18" spans="1:8" ht="21" customHeight="1">
      <c r="A18" s="21">
        <v>16</v>
      </c>
      <c r="B18" s="4">
        <v>46278</v>
      </c>
      <c r="C18" s="29" t="s">
        <v>16</v>
      </c>
      <c r="D18" s="16" t="s">
        <v>28</v>
      </c>
      <c r="E18" s="5"/>
      <c r="F18" s="5">
        <v>88000</v>
      </c>
      <c r="G18" s="14">
        <f t="shared" si="0"/>
        <v>2000</v>
      </c>
    </row>
    <row r="19" spans="1:8" ht="21" customHeight="1">
      <c r="A19" s="21">
        <v>17</v>
      </c>
      <c r="B19" s="4">
        <v>46278</v>
      </c>
      <c r="C19" s="29" t="s">
        <v>29</v>
      </c>
      <c r="D19" s="16" t="s">
        <v>30</v>
      </c>
      <c r="E19" s="5"/>
      <c r="F19" s="5">
        <v>120000</v>
      </c>
      <c r="G19" s="14">
        <f t="shared" si="0"/>
        <v>-118000</v>
      </c>
    </row>
    <row r="20" spans="1:8" ht="21" hidden="1" customHeight="1">
      <c r="A20" s="21">
        <v>18</v>
      </c>
      <c r="B20" s="4"/>
      <c r="C20" s="29"/>
      <c r="D20" s="16"/>
      <c r="E20" s="5"/>
      <c r="F20" s="5"/>
      <c r="G20" s="14">
        <f t="shared" si="0"/>
        <v>-118000</v>
      </c>
    </row>
    <row r="21" spans="1:8" ht="21" hidden="1" customHeight="1">
      <c r="A21" s="21">
        <v>19</v>
      </c>
      <c r="B21" s="4"/>
      <c r="C21" s="29"/>
      <c r="D21" s="16"/>
      <c r="E21" s="5"/>
      <c r="F21" s="5"/>
      <c r="G21" s="14">
        <f t="shared" si="0"/>
        <v>-118000</v>
      </c>
    </row>
    <row r="22" spans="1:8" ht="21" hidden="1" customHeight="1">
      <c r="A22" s="21">
        <v>20</v>
      </c>
      <c r="B22" s="4"/>
      <c r="C22" s="29"/>
      <c r="D22" s="16"/>
      <c r="E22" s="5"/>
      <c r="F22" s="5"/>
      <c r="G22" s="14">
        <f t="shared" si="0"/>
        <v>-118000</v>
      </c>
    </row>
    <row r="23" spans="1:8" ht="21" hidden="1" customHeight="1">
      <c r="A23" s="21">
        <v>21</v>
      </c>
      <c r="B23" s="4"/>
      <c r="C23" s="29"/>
      <c r="D23" s="16"/>
      <c r="E23" s="5"/>
      <c r="F23" s="5"/>
      <c r="G23" s="14">
        <f t="shared" si="0"/>
        <v>-118000</v>
      </c>
    </row>
    <row r="24" spans="1:8" ht="21" hidden="1" customHeight="1">
      <c r="A24" s="21">
        <v>22</v>
      </c>
      <c r="B24" s="4"/>
      <c r="C24" s="29"/>
      <c r="D24" s="16"/>
      <c r="E24" s="5"/>
      <c r="F24" s="5"/>
      <c r="G24" s="14">
        <f t="shared" si="0"/>
        <v>-118000</v>
      </c>
    </row>
    <row r="25" spans="1:8" ht="21" hidden="1" customHeight="1">
      <c r="A25" s="21">
        <v>23</v>
      </c>
      <c r="B25" s="4"/>
      <c r="C25" s="29"/>
      <c r="D25" s="16"/>
      <c r="E25" s="5"/>
      <c r="F25" s="5"/>
      <c r="G25" s="14">
        <f t="shared" si="0"/>
        <v>-118000</v>
      </c>
    </row>
    <row r="26" spans="1:8" ht="21" hidden="1" customHeight="1">
      <c r="A26" s="21">
        <v>24</v>
      </c>
      <c r="B26" s="4"/>
      <c r="C26" s="29"/>
      <c r="D26" s="16"/>
      <c r="E26" s="5"/>
      <c r="F26" s="5"/>
      <c r="G26" s="14">
        <f t="shared" si="0"/>
        <v>-118000</v>
      </c>
    </row>
    <row r="27" spans="1:8" ht="21" hidden="1" customHeight="1">
      <c r="A27" s="21">
        <v>25</v>
      </c>
      <c r="B27" s="4"/>
      <c r="C27" s="29"/>
      <c r="D27" s="16"/>
      <c r="E27" s="5"/>
      <c r="F27" s="5"/>
      <c r="G27" s="14">
        <f t="shared" si="0"/>
        <v>-118000</v>
      </c>
    </row>
    <row r="28" spans="1:8" ht="21" hidden="1" customHeight="1">
      <c r="A28" s="21">
        <v>26</v>
      </c>
      <c r="B28" s="4"/>
      <c r="C28" s="29"/>
      <c r="D28" s="16"/>
      <c r="E28" s="5"/>
      <c r="F28" s="5"/>
      <c r="G28" s="14">
        <f t="shared" si="0"/>
        <v>-118000</v>
      </c>
    </row>
    <row r="29" spans="1:8" ht="21" hidden="1" customHeight="1">
      <c r="A29" s="21">
        <v>27</v>
      </c>
      <c r="B29" s="4"/>
      <c r="C29" s="29"/>
      <c r="D29" s="16"/>
      <c r="E29" s="5"/>
      <c r="F29" s="5"/>
      <c r="G29" s="14">
        <f t="shared" si="0"/>
        <v>-118000</v>
      </c>
    </row>
    <row r="30" spans="1:8" ht="21" hidden="1" customHeight="1">
      <c r="A30" s="21">
        <v>28</v>
      </c>
      <c r="B30" s="4"/>
      <c r="C30" s="29"/>
      <c r="D30" s="16"/>
      <c r="E30" s="5"/>
      <c r="F30" s="5"/>
      <c r="G30" s="14">
        <f t="shared" si="0"/>
        <v>-118000</v>
      </c>
    </row>
    <row r="31" spans="1:8" ht="19.5" customHeight="1">
      <c r="A31" s="21"/>
      <c r="B31" s="4"/>
      <c r="C31" s="29"/>
      <c r="D31" s="17" t="s">
        <v>8</v>
      </c>
      <c r="E31" s="5">
        <f>SUM(E3:E30)</f>
        <v>720000</v>
      </c>
      <c r="F31" s="5">
        <f>SUM(F4:F30)</f>
        <v>308000</v>
      </c>
      <c r="G31" s="5">
        <f>E31-F31</f>
        <v>412000</v>
      </c>
    </row>
    <row r="32" spans="1:8" ht="19.5" hidden="1" customHeight="1">
      <c r="A32" s="21"/>
      <c r="B32" s="4"/>
      <c r="C32" s="29"/>
      <c r="D32" s="17" t="s">
        <v>7</v>
      </c>
      <c r="E32" s="1" t="e">
        <f>E31+#REF!</f>
        <v>#REF!</v>
      </c>
      <c r="F32" s="1" t="e">
        <f>F31+#REF!</f>
        <v>#REF!</v>
      </c>
      <c r="G32" s="1" t="e">
        <f>E32-F32</f>
        <v>#REF!</v>
      </c>
      <c r="H32" s="19"/>
    </row>
    <row r="33" spans="1:1">
      <c r="A33" s="10" t="s">
        <v>32</v>
      </c>
    </row>
  </sheetData>
  <autoFilter ref="A2:G2"/>
  <mergeCells count="2">
    <mergeCell ref="A1:C1"/>
    <mergeCell ref="D1:G1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26-9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주호 이</dc:creator>
  <cp:lastModifiedBy>주호이</cp:lastModifiedBy>
  <cp:lastPrinted>2026-07-05T04:09:24Z</cp:lastPrinted>
  <dcterms:created xsi:type="dcterms:W3CDTF">2024-12-21T07:34:04Z</dcterms:created>
  <dcterms:modified xsi:type="dcterms:W3CDTF">2026-09-13T13:16:41Z</dcterms:modified>
</cp:coreProperties>
</file>